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13_ncr:1_{9459E870-0850-4781-9067-2C2B49B1CB3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1. Raw Data" sheetId="1" r:id="rId1"/>
    <sheet name="2. Returns" sheetId="2" r:id="rId2"/>
    <sheet name="3. Summary Statistics" sheetId="3" r:id="rId3"/>
    <sheet name="4. Price Cha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" i="2" l="1"/>
  <c r="E5" i="2"/>
  <c r="E57" i="2"/>
  <c r="D57" i="2"/>
  <c r="F57" i="2" s="1"/>
  <c r="E56" i="2"/>
  <c r="D56" i="2"/>
  <c r="E55" i="2"/>
  <c r="D55" i="2"/>
  <c r="F55" i="2" s="1"/>
  <c r="E54" i="2"/>
  <c r="D54" i="2"/>
  <c r="F54" i="2" s="1"/>
  <c r="E53" i="2"/>
  <c r="D53" i="2"/>
  <c r="F53" i="2" s="1"/>
  <c r="E52" i="2"/>
  <c r="D52" i="2"/>
  <c r="F52" i="2" s="1"/>
  <c r="E51" i="2"/>
  <c r="D51" i="2"/>
  <c r="F51" i="2" s="1"/>
  <c r="E50" i="2"/>
  <c r="D50" i="2"/>
  <c r="E49" i="2"/>
  <c r="D49" i="2"/>
  <c r="E48" i="2"/>
  <c r="D48" i="2"/>
  <c r="E47" i="2"/>
  <c r="D47" i="2"/>
  <c r="F47" i="2" s="1"/>
  <c r="E46" i="2"/>
  <c r="D46" i="2"/>
  <c r="E45" i="2"/>
  <c r="D45" i="2"/>
  <c r="F45" i="2" s="1"/>
  <c r="F44" i="2"/>
  <c r="E44" i="2"/>
  <c r="D44" i="2"/>
  <c r="E43" i="2"/>
  <c r="D43" i="2"/>
  <c r="E42" i="2"/>
  <c r="D42" i="2"/>
  <c r="F42" i="2" s="1"/>
  <c r="E41" i="2"/>
  <c r="D41" i="2"/>
  <c r="E40" i="2"/>
  <c r="F40" i="2" s="1"/>
  <c r="D40" i="2"/>
  <c r="E39" i="2"/>
  <c r="D39" i="2"/>
  <c r="F39" i="2" s="1"/>
  <c r="E38" i="2"/>
  <c r="D38" i="2"/>
  <c r="F38" i="2" s="1"/>
  <c r="F37" i="2"/>
  <c r="E37" i="2"/>
  <c r="D37" i="2"/>
  <c r="E36" i="2"/>
  <c r="D36" i="2"/>
  <c r="F36" i="2" s="1"/>
  <c r="E35" i="2"/>
  <c r="D35" i="2"/>
  <c r="F35" i="2" s="1"/>
  <c r="F34" i="2"/>
  <c r="E34" i="2"/>
  <c r="D34" i="2"/>
  <c r="E33" i="2"/>
  <c r="D33" i="2"/>
  <c r="F33" i="2" s="1"/>
  <c r="E32" i="2"/>
  <c r="F32" i="2" s="1"/>
  <c r="D32" i="2"/>
  <c r="E31" i="2"/>
  <c r="D31" i="2"/>
  <c r="F31" i="2" s="1"/>
  <c r="E30" i="2"/>
  <c r="D30" i="2"/>
  <c r="F30" i="2" s="1"/>
  <c r="E29" i="2"/>
  <c r="D29" i="2"/>
  <c r="F29" i="2" s="1"/>
  <c r="E28" i="2"/>
  <c r="D28" i="2"/>
  <c r="F28" i="2" s="1"/>
  <c r="E27" i="2"/>
  <c r="D27" i="2"/>
  <c r="F27" i="2" s="1"/>
  <c r="E26" i="2"/>
  <c r="D26" i="2"/>
  <c r="F26" i="2" s="1"/>
  <c r="E25" i="2"/>
  <c r="D25" i="2"/>
  <c r="F25" i="2" s="1"/>
  <c r="E24" i="2"/>
  <c r="F24" i="2" s="1"/>
  <c r="D24" i="2"/>
  <c r="E23" i="2"/>
  <c r="D23" i="2"/>
  <c r="E22" i="2"/>
  <c r="D22" i="2"/>
  <c r="E21" i="2"/>
  <c r="D21" i="2"/>
  <c r="F21" i="2" s="1"/>
  <c r="E20" i="2"/>
  <c r="F20" i="2" s="1"/>
  <c r="D20" i="2"/>
  <c r="E19" i="2"/>
  <c r="D19" i="2"/>
  <c r="E18" i="2"/>
  <c r="D18" i="2"/>
  <c r="F18" i="2" s="1"/>
  <c r="E17" i="2"/>
  <c r="D17" i="2"/>
  <c r="F17" i="2" s="1"/>
  <c r="E16" i="2"/>
  <c r="D16" i="2"/>
  <c r="E15" i="2"/>
  <c r="D15" i="2"/>
  <c r="E14" i="2"/>
  <c r="D14" i="2"/>
  <c r="F14" i="2" s="1"/>
  <c r="E13" i="2"/>
  <c r="D13" i="2"/>
  <c r="F13" i="2" s="1"/>
  <c r="F12" i="2"/>
  <c r="E12" i="2"/>
  <c r="D12" i="2"/>
  <c r="E11" i="2"/>
  <c r="D11" i="2"/>
  <c r="B4" i="3" s="1"/>
  <c r="E10" i="2"/>
  <c r="D10" i="2"/>
  <c r="F10" i="2" s="1"/>
  <c r="E9" i="2"/>
  <c r="D9" i="2"/>
  <c r="E8" i="2"/>
  <c r="D8" i="2"/>
  <c r="E7" i="2"/>
  <c r="D7" i="2"/>
  <c r="E6" i="2"/>
  <c r="D6" i="2"/>
  <c r="D5" i="2"/>
  <c r="F48" i="2" l="1"/>
  <c r="B9" i="3"/>
  <c r="C4" i="3"/>
  <c r="F15" i="2"/>
  <c r="F49" i="2"/>
  <c r="C6" i="3"/>
  <c r="F9" i="2"/>
  <c r="F19" i="2"/>
  <c r="F22" i="2"/>
  <c r="F56" i="2"/>
  <c r="F43" i="2"/>
  <c r="F46" i="2"/>
  <c r="F50" i="2"/>
  <c r="B3" i="3"/>
  <c r="F16" i="2"/>
  <c r="F23" i="2"/>
  <c r="B10" i="3"/>
  <c r="F7" i="2"/>
  <c r="D6" i="3" s="1"/>
  <c r="F41" i="2"/>
  <c r="C10" i="3"/>
  <c r="F6" i="2"/>
  <c r="B5" i="3"/>
  <c r="F11" i="2"/>
  <c r="C7" i="3"/>
  <c r="C5" i="3"/>
  <c r="B8" i="3"/>
  <c r="B7" i="3"/>
  <c r="C8" i="3"/>
  <c r="C3" i="3"/>
  <c r="B6" i="3"/>
  <c r="F8" i="2"/>
  <c r="D7" i="3" s="1"/>
  <c r="D8" i="3" l="1"/>
  <c r="D5" i="3"/>
  <c r="D10" i="3"/>
  <c r="D4" i="3"/>
  <c r="D3" i="3"/>
</calcChain>
</file>

<file path=xl/sharedStrings.xml><?xml version="1.0" encoding="utf-8"?>
<sst xmlns="http://schemas.openxmlformats.org/spreadsheetml/2006/main" count="203" uniqueCount="92">
  <si>
    <t>Portfolio Investment Analysis — Raw Price Data (Weekly Adj. Close)</t>
  </si>
  <si>
    <t>Date</t>
  </si>
  <si>
    <t>LVMH Adj Close (EUR)</t>
  </si>
  <si>
    <t>Tapestry Adj Close (USD)</t>
  </si>
  <si>
    <t>Mar 10, 2025</t>
  </si>
  <si>
    <t>Mar 17, 2025</t>
  </si>
  <si>
    <t>Mar 24, 2025</t>
  </si>
  <si>
    <t>Mar 31, 2025</t>
  </si>
  <si>
    <t>Apr 7, 2025</t>
  </si>
  <si>
    <t>Apr 14, 2025</t>
  </si>
  <si>
    <t>Apr 21, 2025</t>
  </si>
  <si>
    <t>Apr 28, 2025</t>
  </si>
  <si>
    <t>May 5, 2025</t>
  </si>
  <si>
    <t>May 12, 2025</t>
  </si>
  <si>
    <t>May 19, 2025</t>
  </si>
  <si>
    <t>May 26, 2025</t>
  </si>
  <si>
    <t>Jun 2, 2025</t>
  </si>
  <si>
    <t>Jun 9, 2025</t>
  </si>
  <si>
    <t>Jun 16, 2025</t>
  </si>
  <si>
    <t>Jun 23, 2025</t>
  </si>
  <si>
    <t>Jun 30, 2025</t>
  </si>
  <si>
    <t>Jul 7, 2025</t>
  </si>
  <si>
    <t>Jul 14, 2025</t>
  </si>
  <si>
    <t>Jul 21, 2025</t>
  </si>
  <si>
    <t>Jul 28, 2025</t>
  </si>
  <si>
    <t>Aug 4, 2025</t>
  </si>
  <si>
    <t>Aug 11, 2025</t>
  </si>
  <si>
    <t>Aug 18, 2025</t>
  </si>
  <si>
    <t>Aug 25, 2025</t>
  </si>
  <si>
    <t>Sep 1, 2025</t>
  </si>
  <si>
    <t>Sep 8, 2025</t>
  </si>
  <si>
    <t>Sep 15, 2025</t>
  </si>
  <si>
    <t>Sep 22, 2025</t>
  </si>
  <si>
    <t>Sep 29, 2025</t>
  </si>
  <si>
    <t>Oct 6, 2025</t>
  </si>
  <si>
    <t>Oct 13, 2025</t>
  </si>
  <si>
    <t>Oct 20, 2025</t>
  </si>
  <si>
    <t>Oct 27, 2025</t>
  </si>
  <si>
    <t>Nov 3, 2025</t>
  </si>
  <si>
    <t>Nov 10, 2025</t>
  </si>
  <si>
    <t>Nov 17, 2025</t>
  </si>
  <si>
    <t>Nov 24, 2025</t>
  </si>
  <si>
    <t>Dec 1, 2025</t>
  </si>
  <si>
    <t>Dec 8, 2025</t>
  </si>
  <si>
    <t>Dec 15, 2025</t>
  </si>
  <si>
    <t>Dec 22, 2025</t>
  </si>
  <si>
    <t>Dec 29, 2025</t>
  </si>
  <si>
    <t>Jan 5, 2026</t>
  </si>
  <si>
    <t>Jan 12, 2026</t>
  </si>
  <si>
    <t>Jan 19, 2026</t>
  </si>
  <si>
    <t>Jan 26, 2026</t>
  </si>
  <si>
    <t>Feb 2, 2026</t>
  </si>
  <si>
    <t>Feb 9, 2026</t>
  </si>
  <si>
    <t>Feb 16, 2026</t>
  </si>
  <si>
    <t>Feb 23, 2026</t>
  </si>
  <si>
    <t>Mar 2, 2026</t>
  </si>
  <si>
    <t>Mar 9, 2026</t>
  </si>
  <si>
    <t>Mar 10, 2026</t>
  </si>
  <si>
    <t>Weekly Returns &amp; Portfolio Construction</t>
  </si>
  <si>
    <t>LVMH Price (EUR)</t>
  </si>
  <si>
    <t>TPR Price (USD)</t>
  </si>
  <si>
    <t>LVMH Weekly Return</t>
  </si>
  <si>
    <t>TPR Weekly Return</t>
  </si>
  <si>
    <t>Portfolio Return (50/50)</t>
  </si>
  <si>
    <t>Summary Statistics &amp; Risk-Return Analysis</t>
  </si>
  <si>
    <t>Metric</t>
  </si>
  <si>
    <t>LVMH (MC.PA)</t>
  </si>
  <si>
    <t>Tapestry (TPR)</t>
  </si>
  <si>
    <t>Portfolio (50/50)</t>
  </si>
  <si>
    <t>Average Weekly Return</t>
  </si>
  <si>
    <t>Standard Deviation (Weekly Volatility)</t>
  </si>
  <si>
    <t>Variance</t>
  </si>
  <si>
    <t>Minimum Weekly Return</t>
  </si>
  <si>
    <t>Maximum Weekly Return</t>
  </si>
  <si>
    <t>Sharpe Ratio  (RF = 4.5% p.a.)</t>
  </si>
  <si>
    <t>Correlation (LVMH vs TPR)</t>
  </si>
  <si>
    <t>—</t>
  </si>
  <si>
    <t>Number of Observations</t>
  </si>
  <si>
    <t>Interpretation Guide</t>
  </si>
  <si>
    <t>Sharpe Ratio &gt; 1.0</t>
  </si>
  <si>
    <t>Strong risk-adjusted performance</t>
  </si>
  <si>
    <t>Sharpe Ratio 0 – 1.0</t>
  </si>
  <si>
    <t>Acceptable risk-adjusted performance</t>
  </si>
  <si>
    <t>Sharpe Ratio &lt; 0</t>
  </si>
  <si>
    <t>Return below risk-free rate — poor performance</t>
  </si>
  <si>
    <t>Correlation close to 0</t>
  </si>
  <si>
    <t>Low correlation — strong diversification benefit</t>
  </si>
  <si>
    <t>Correlation close to 1</t>
  </si>
  <si>
    <t>High correlation — limited diversification benefit</t>
  </si>
  <si>
    <t>Weekly Adjusted Close Price — LVMH vs Tapestry</t>
  </si>
  <si>
    <t>LVMH (EUR)</t>
  </si>
  <si>
    <t>TPR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</si>
</sst>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"/>
  </numFmts>
  <fonts count="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F5F5F5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66CC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0" fillId="0" borderId="1" xfId="0" applyBorder="1"/>
    <xf numFmtId="0" fontId="3" fillId="4" borderId="1" xfId="0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4" fontId="1" fillId="5" borderId="1" xfId="0" applyNumberFormat="1" applyFont="1" applyFill="1" applyBorder="1" applyAlignment="1">
      <alignment horizontal="center" vertical="center"/>
    </xf>
    <xf numFmtId="4" fontId="1" fillId="6" borderId="1" xfId="0" applyNumberFormat="1" applyFont="1" applyFill="1" applyBorder="1" applyAlignment="1">
      <alignment horizontal="center" vertical="center"/>
    </xf>
    <xf numFmtId="10" fontId="1" fillId="6" borderId="1" xfId="0" applyNumberFormat="1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5F5F5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C9A84C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LVMH vs Tapestry — Weekly Adjusted Close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Price Chart'!$B$2</c:f>
              <c:strCache>
                <c:ptCount val="1"/>
                <c:pt idx="0">
                  <c:v>LVMH (EUR)</c:v>
                </c:pt>
              </c:strCache>
            </c:strRef>
          </c:tx>
          <c:spPr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'4. Price Chart'!$B$3:$B$56</c:f>
              <c:numCache>
                <c:formatCode>#,##0.00</c:formatCode>
                <c:ptCount val="54"/>
                <c:pt idx="0">
                  <c:v>590.92999999999995</c:v>
                </c:pt>
                <c:pt idx="1">
                  <c:v>588.39</c:v>
                </c:pt>
                <c:pt idx="2">
                  <c:v>573.35</c:v>
                </c:pt>
                <c:pt idx="3">
                  <c:v>517.59</c:v>
                </c:pt>
                <c:pt idx="4">
                  <c:v>512.12</c:v>
                </c:pt>
                <c:pt idx="5">
                  <c:v>474.23</c:v>
                </c:pt>
                <c:pt idx="6">
                  <c:v>487.12</c:v>
                </c:pt>
                <c:pt idx="7">
                  <c:v>491.61</c:v>
                </c:pt>
                <c:pt idx="8">
                  <c:v>491.51</c:v>
                </c:pt>
                <c:pt idx="9">
                  <c:v>499.59</c:v>
                </c:pt>
                <c:pt idx="10">
                  <c:v>474.9</c:v>
                </c:pt>
                <c:pt idx="11">
                  <c:v>474.16</c:v>
                </c:pt>
                <c:pt idx="12">
                  <c:v>467.22</c:v>
                </c:pt>
                <c:pt idx="13">
                  <c:v>457.45</c:v>
                </c:pt>
                <c:pt idx="14">
                  <c:v>446.1</c:v>
                </c:pt>
                <c:pt idx="15">
                  <c:v>445.46</c:v>
                </c:pt>
                <c:pt idx="16">
                  <c:v>473.26</c:v>
                </c:pt>
                <c:pt idx="17">
                  <c:v>483.53</c:v>
                </c:pt>
                <c:pt idx="18">
                  <c:v>468.7</c:v>
                </c:pt>
                <c:pt idx="19">
                  <c:v>484.52</c:v>
                </c:pt>
                <c:pt idx="20">
                  <c:v>457.7</c:v>
                </c:pt>
                <c:pt idx="21">
                  <c:v>457.4</c:v>
                </c:pt>
                <c:pt idx="22">
                  <c:v>472.03</c:v>
                </c:pt>
                <c:pt idx="23">
                  <c:v>490.86</c:v>
                </c:pt>
                <c:pt idx="24">
                  <c:v>499.79</c:v>
                </c:pt>
                <c:pt idx="25">
                  <c:v>492</c:v>
                </c:pt>
                <c:pt idx="26">
                  <c:v>486.45</c:v>
                </c:pt>
                <c:pt idx="27">
                  <c:v>506.23</c:v>
                </c:pt>
                <c:pt idx="28">
                  <c:v>511.29</c:v>
                </c:pt>
                <c:pt idx="29">
                  <c:v>548.37</c:v>
                </c:pt>
                <c:pt idx="30">
                  <c:v>541.33000000000004</c:v>
                </c:pt>
                <c:pt idx="31">
                  <c:v>600.52</c:v>
                </c:pt>
                <c:pt idx="32">
                  <c:v>607.26</c:v>
                </c:pt>
                <c:pt idx="33">
                  <c:v>606.86</c:v>
                </c:pt>
                <c:pt idx="34">
                  <c:v>598.04</c:v>
                </c:pt>
                <c:pt idx="35">
                  <c:v>631.54999999999995</c:v>
                </c:pt>
                <c:pt idx="36">
                  <c:v>617.66999999999996</c:v>
                </c:pt>
                <c:pt idx="37">
                  <c:v>630.05999999999995</c:v>
                </c:pt>
                <c:pt idx="38">
                  <c:v>622.72</c:v>
                </c:pt>
                <c:pt idx="39">
                  <c:v>624.5</c:v>
                </c:pt>
                <c:pt idx="40">
                  <c:v>631.70000000000005</c:v>
                </c:pt>
                <c:pt idx="41">
                  <c:v>632.1</c:v>
                </c:pt>
                <c:pt idx="42">
                  <c:v>641.79999999999995</c:v>
                </c:pt>
                <c:pt idx="43">
                  <c:v>652.1</c:v>
                </c:pt>
                <c:pt idx="44">
                  <c:v>609.20000000000005</c:v>
                </c:pt>
                <c:pt idx="45">
                  <c:v>591.4</c:v>
                </c:pt>
                <c:pt idx="46">
                  <c:v>546.9</c:v>
                </c:pt>
                <c:pt idx="47">
                  <c:v>536.20000000000005</c:v>
                </c:pt>
                <c:pt idx="48">
                  <c:v>514.20000000000005</c:v>
                </c:pt>
                <c:pt idx="49">
                  <c:v>554.70000000000005</c:v>
                </c:pt>
                <c:pt idx="50">
                  <c:v>544.1</c:v>
                </c:pt>
                <c:pt idx="51">
                  <c:v>502.2</c:v>
                </c:pt>
                <c:pt idx="52">
                  <c:v>504.5</c:v>
                </c:pt>
                <c:pt idx="53">
                  <c:v>504.5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35-4033-A141-C7956A94E3FA}"/>
            </c:ext>
          </c:extLst>
        </c:ser>
        <c:ser>
          <c:idx val="1"/>
          <c:order val="1"/>
          <c:tx>
            <c:strRef>
              <c:f>'4. Price Chart'!$C$2</c:f>
              <c:strCache>
                <c:ptCount val="1"/>
                <c:pt idx="0">
                  <c:v>TPR (USD)</c:v>
                </c:pt>
              </c:strCache>
            </c:strRef>
          </c:tx>
          <c:spPr>
            <a:ln w="21960">
              <a:solidFill>
                <a:srgbClr val="C9A84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'4. Price Chart'!$C$3:$C$56</c:f>
              <c:numCache>
                <c:formatCode>#,##0.00</c:formatCode>
                <c:ptCount val="54"/>
                <c:pt idx="0">
                  <c:v>69.45</c:v>
                </c:pt>
                <c:pt idx="1">
                  <c:v>72.08</c:v>
                </c:pt>
                <c:pt idx="2">
                  <c:v>69.25</c:v>
                </c:pt>
                <c:pt idx="3">
                  <c:v>62.04</c:v>
                </c:pt>
                <c:pt idx="4">
                  <c:v>62.5</c:v>
                </c:pt>
                <c:pt idx="5">
                  <c:v>62.73</c:v>
                </c:pt>
                <c:pt idx="6">
                  <c:v>67.900000000000006</c:v>
                </c:pt>
                <c:pt idx="7">
                  <c:v>71.72</c:v>
                </c:pt>
                <c:pt idx="8">
                  <c:v>76.900000000000006</c:v>
                </c:pt>
                <c:pt idx="9">
                  <c:v>81.64</c:v>
                </c:pt>
                <c:pt idx="10">
                  <c:v>75.77</c:v>
                </c:pt>
                <c:pt idx="11">
                  <c:v>77.430000000000007</c:v>
                </c:pt>
                <c:pt idx="12">
                  <c:v>77.819999999999993</c:v>
                </c:pt>
                <c:pt idx="13">
                  <c:v>78.13</c:v>
                </c:pt>
                <c:pt idx="14">
                  <c:v>83.5</c:v>
                </c:pt>
                <c:pt idx="15">
                  <c:v>86.25</c:v>
                </c:pt>
                <c:pt idx="16">
                  <c:v>89.31</c:v>
                </c:pt>
                <c:pt idx="17">
                  <c:v>97.46</c:v>
                </c:pt>
                <c:pt idx="18">
                  <c:v>102.4</c:v>
                </c:pt>
                <c:pt idx="19">
                  <c:v>107.27</c:v>
                </c:pt>
                <c:pt idx="20">
                  <c:v>105.26</c:v>
                </c:pt>
                <c:pt idx="21">
                  <c:v>108.01</c:v>
                </c:pt>
                <c:pt idx="22">
                  <c:v>99.74</c:v>
                </c:pt>
                <c:pt idx="23">
                  <c:v>98.67</c:v>
                </c:pt>
                <c:pt idx="24">
                  <c:v>100.81</c:v>
                </c:pt>
                <c:pt idx="25">
                  <c:v>103.15</c:v>
                </c:pt>
                <c:pt idx="26">
                  <c:v>105.82</c:v>
                </c:pt>
                <c:pt idx="27">
                  <c:v>113.49</c:v>
                </c:pt>
                <c:pt idx="28">
                  <c:v>108.38</c:v>
                </c:pt>
                <c:pt idx="29">
                  <c:v>114.21</c:v>
                </c:pt>
                <c:pt idx="30">
                  <c:v>107.56</c:v>
                </c:pt>
                <c:pt idx="31">
                  <c:v>116.1</c:v>
                </c:pt>
                <c:pt idx="32">
                  <c:v>114.01</c:v>
                </c:pt>
                <c:pt idx="33">
                  <c:v>109.15</c:v>
                </c:pt>
                <c:pt idx="34">
                  <c:v>103.04</c:v>
                </c:pt>
                <c:pt idx="35">
                  <c:v>100.79</c:v>
                </c:pt>
                <c:pt idx="36">
                  <c:v>104.59</c:v>
                </c:pt>
                <c:pt idx="37">
                  <c:v>108.61</c:v>
                </c:pt>
                <c:pt idx="38">
                  <c:v>115.59</c:v>
                </c:pt>
                <c:pt idx="39">
                  <c:v>122.88</c:v>
                </c:pt>
                <c:pt idx="40">
                  <c:v>125.08</c:v>
                </c:pt>
                <c:pt idx="41">
                  <c:v>130.94999999999999</c:v>
                </c:pt>
                <c:pt idx="42">
                  <c:v>128.72</c:v>
                </c:pt>
                <c:pt idx="43">
                  <c:v>133.99</c:v>
                </c:pt>
                <c:pt idx="44">
                  <c:v>130.34</c:v>
                </c:pt>
                <c:pt idx="45">
                  <c:v>129.69</c:v>
                </c:pt>
                <c:pt idx="46">
                  <c:v>126.57</c:v>
                </c:pt>
                <c:pt idx="47">
                  <c:v>151.69</c:v>
                </c:pt>
                <c:pt idx="48">
                  <c:v>153.38999999999999</c:v>
                </c:pt>
                <c:pt idx="49">
                  <c:v>156.66999999999999</c:v>
                </c:pt>
                <c:pt idx="50">
                  <c:v>155.05000000000001</c:v>
                </c:pt>
                <c:pt idx="51">
                  <c:v>143.76</c:v>
                </c:pt>
                <c:pt idx="52">
                  <c:v>148.27000000000001</c:v>
                </c:pt>
                <c:pt idx="53">
                  <c:v>148.27000000000001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335-4033-A141-C7956A94E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3963841"/>
        <c:axId val="80186215"/>
      </c:lineChart>
      <c:catAx>
        <c:axId val="939638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186215"/>
        <c:crosses val="autoZero"/>
        <c:auto val="1"/>
        <c:lblAlgn val="ctr"/>
        <c:lblOffset val="100"/>
        <c:noMultiLvlLbl val="0"/>
      </c:catAx>
      <c:valAx>
        <c:axId val="801862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Adj. Close Price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9638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18</xdr:col>
      <xdr:colOff>78480</xdr:colOff>
      <xdr:row>30</xdr:row>
      <xdr:rowOff>65520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zoomScaleNormal="100" workbookViewId="0">
      <pane ySplit="2" topLeftCell="A3" activePane="bottomLeft" state="frozen"/>
      <selection pane="bottomLeft" activeCell="D10" sqref="D10"/>
    </sheetView>
  </sheetViews>
  <sheetFormatPr defaultColWidth="8.7109375" defaultRowHeight="15" x14ac:dyDescent="0.25"/>
  <cols>
    <col min="1" max="1" width="18.7109375" style="3" customWidth="1"/>
    <col min="2" max="2" width="21.5703125" style="3" customWidth="1"/>
    <col min="3" max="3" width="30.5703125" style="3" customWidth="1"/>
    <col min="4" max="7" width="15" style="3" customWidth="1"/>
    <col min="8" max="11" width="15" customWidth="1"/>
  </cols>
  <sheetData>
    <row r="1" spans="1:4" ht="15" customHeight="1" x14ac:dyDescent="0.25">
      <c r="A1" s="1" t="s">
        <v>0</v>
      </c>
      <c r="B1" s="1"/>
      <c r="C1" s="1"/>
      <c r="D1" s="2"/>
    </row>
    <row r="2" spans="1:4" x14ac:dyDescent="0.25">
      <c r="A2" s="4" t="s">
        <v>1</v>
      </c>
      <c r="B2" s="4" t="s">
        <v>2</v>
      </c>
      <c r="C2" s="4" t="s">
        <v>3</v>
      </c>
      <c r="D2" s="2"/>
    </row>
    <row r="3" spans="1:4" x14ac:dyDescent="0.25">
      <c r="A3" s="5" t="s">
        <v>4</v>
      </c>
      <c r="B3" s="5">
        <v>590.92999999999995</v>
      </c>
      <c r="C3" s="5">
        <v>69.45</v>
      </c>
      <c r="D3" s="2"/>
    </row>
    <row r="4" spans="1:4" x14ac:dyDescent="0.25">
      <c r="A4" s="6" t="s">
        <v>5</v>
      </c>
      <c r="B4" s="6">
        <v>588.39</v>
      </c>
      <c r="C4" s="6">
        <v>72.08</v>
      </c>
      <c r="D4" s="2"/>
    </row>
    <row r="5" spans="1:4" x14ac:dyDescent="0.25">
      <c r="A5" s="5" t="s">
        <v>6</v>
      </c>
      <c r="B5" s="5">
        <v>573.35</v>
      </c>
      <c r="C5" s="5">
        <v>69.25</v>
      </c>
      <c r="D5" s="2"/>
    </row>
    <row r="6" spans="1:4" x14ac:dyDescent="0.25">
      <c r="A6" s="6" t="s">
        <v>7</v>
      </c>
      <c r="B6" s="6">
        <v>517.59</v>
      </c>
      <c r="C6" s="6">
        <v>62.04</v>
      </c>
      <c r="D6" s="2"/>
    </row>
    <row r="7" spans="1:4" x14ac:dyDescent="0.25">
      <c r="A7" s="5" t="s">
        <v>8</v>
      </c>
      <c r="B7" s="5">
        <v>512.12</v>
      </c>
      <c r="C7" s="5">
        <v>62.5</v>
      </c>
      <c r="D7" s="2"/>
    </row>
    <row r="8" spans="1:4" x14ac:dyDescent="0.25">
      <c r="A8" s="6" t="s">
        <v>9</v>
      </c>
      <c r="B8" s="6">
        <v>474.23</v>
      </c>
      <c r="C8" s="6">
        <v>62.73</v>
      </c>
      <c r="D8" s="2"/>
    </row>
    <row r="9" spans="1:4" x14ac:dyDescent="0.25">
      <c r="A9" s="5" t="s">
        <v>10</v>
      </c>
      <c r="B9" s="5">
        <v>487.12</v>
      </c>
      <c r="C9" s="5">
        <v>67.900000000000006</v>
      </c>
      <c r="D9" s="2"/>
    </row>
    <row r="10" spans="1:4" x14ac:dyDescent="0.25">
      <c r="A10" s="6" t="s">
        <v>11</v>
      </c>
      <c r="B10" s="6">
        <v>491.61</v>
      </c>
      <c r="C10" s="6">
        <v>71.72</v>
      </c>
      <c r="D10" s="2"/>
    </row>
    <row r="11" spans="1:4" x14ac:dyDescent="0.25">
      <c r="A11" s="5" t="s">
        <v>12</v>
      </c>
      <c r="B11" s="5">
        <v>491.51</v>
      </c>
      <c r="C11" s="5">
        <v>76.900000000000006</v>
      </c>
      <c r="D11" s="2"/>
    </row>
    <row r="12" spans="1:4" x14ac:dyDescent="0.25">
      <c r="A12" s="6" t="s">
        <v>13</v>
      </c>
      <c r="B12" s="6">
        <v>499.59</v>
      </c>
      <c r="C12" s="6">
        <v>81.64</v>
      </c>
      <c r="D12" s="2"/>
    </row>
    <row r="13" spans="1:4" x14ac:dyDescent="0.25">
      <c r="A13" s="5" t="s">
        <v>14</v>
      </c>
      <c r="B13" s="5">
        <v>474.9</v>
      </c>
      <c r="C13" s="5">
        <v>75.77</v>
      </c>
      <c r="D13" s="2"/>
    </row>
    <row r="14" spans="1:4" x14ac:dyDescent="0.25">
      <c r="A14" s="6" t="s">
        <v>15</v>
      </c>
      <c r="B14" s="6">
        <v>474.16</v>
      </c>
      <c r="C14" s="6">
        <v>77.430000000000007</v>
      </c>
      <c r="D14" s="2"/>
    </row>
    <row r="15" spans="1:4" x14ac:dyDescent="0.25">
      <c r="A15" s="5" t="s">
        <v>16</v>
      </c>
      <c r="B15" s="5">
        <v>467.22</v>
      </c>
      <c r="C15" s="5">
        <v>77.819999999999993</v>
      </c>
      <c r="D15" s="2"/>
    </row>
    <row r="16" spans="1:4" x14ac:dyDescent="0.25">
      <c r="A16" s="6" t="s">
        <v>17</v>
      </c>
      <c r="B16" s="6">
        <v>457.45</v>
      </c>
      <c r="C16" s="6">
        <v>78.13</v>
      </c>
      <c r="D16" s="2"/>
    </row>
    <row r="17" spans="1:4" x14ac:dyDescent="0.25">
      <c r="A17" s="5" t="s">
        <v>18</v>
      </c>
      <c r="B17" s="5">
        <v>446.1</v>
      </c>
      <c r="C17" s="5">
        <v>83.5</v>
      </c>
      <c r="D17" s="2"/>
    </row>
    <row r="18" spans="1:4" x14ac:dyDescent="0.25">
      <c r="A18" s="6" t="s">
        <v>19</v>
      </c>
      <c r="B18" s="6">
        <v>445.46</v>
      </c>
      <c r="C18" s="6">
        <v>86.25</v>
      </c>
      <c r="D18" s="2"/>
    </row>
    <row r="19" spans="1:4" x14ac:dyDescent="0.25">
      <c r="A19" s="5" t="s">
        <v>20</v>
      </c>
      <c r="B19" s="5">
        <v>473.26</v>
      </c>
      <c r="C19" s="5">
        <v>89.31</v>
      </c>
      <c r="D19" s="2"/>
    </row>
    <row r="20" spans="1:4" x14ac:dyDescent="0.25">
      <c r="A20" s="6" t="s">
        <v>21</v>
      </c>
      <c r="B20" s="6">
        <v>483.53</v>
      </c>
      <c r="C20" s="6">
        <v>97.46</v>
      </c>
      <c r="D20" s="2"/>
    </row>
    <row r="21" spans="1:4" x14ac:dyDescent="0.25">
      <c r="A21" s="5" t="s">
        <v>22</v>
      </c>
      <c r="B21" s="5">
        <v>468.7</v>
      </c>
      <c r="C21" s="5">
        <v>102.4</v>
      </c>
      <c r="D21" s="2"/>
    </row>
    <row r="22" spans="1:4" x14ac:dyDescent="0.25">
      <c r="A22" s="6" t="s">
        <v>23</v>
      </c>
      <c r="B22" s="6">
        <v>484.52</v>
      </c>
      <c r="C22" s="6">
        <v>107.27</v>
      </c>
      <c r="D22" s="2"/>
    </row>
    <row r="23" spans="1:4" x14ac:dyDescent="0.25">
      <c r="A23" s="5" t="s">
        <v>24</v>
      </c>
      <c r="B23" s="5">
        <v>457.7</v>
      </c>
      <c r="C23" s="5">
        <v>105.26</v>
      </c>
      <c r="D23" s="2"/>
    </row>
    <row r="24" spans="1:4" x14ac:dyDescent="0.25">
      <c r="A24" s="6" t="s">
        <v>25</v>
      </c>
      <c r="B24" s="6">
        <v>457.4</v>
      </c>
      <c r="C24" s="6">
        <v>108.01</v>
      </c>
      <c r="D24" s="2"/>
    </row>
    <row r="25" spans="1:4" x14ac:dyDescent="0.25">
      <c r="A25" s="5" t="s">
        <v>26</v>
      </c>
      <c r="B25" s="5">
        <v>472.03</v>
      </c>
      <c r="C25" s="5">
        <v>99.74</v>
      </c>
      <c r="D25" s="2"/>
    </row>
    <row r="26" spans="1:4" x14ac:dyDescent="0.25">
      <c r="A26" s="6" t="s">
        <v>27</v>
      </c>
      <c r="B26" s="6">
        <v>490.86</v>
      </c>
      <c r="C26" s="6">
        <v>98.67</v>
      </c>
      <c r="D26" s="2"/>
    </row>
    <row r="27" spans="1:4" x14ac:dyDescent="0.25">
      <c r="A27" s="5" t="s">
        <v>28</v>
      </c>
      <c r="B27" s="5">
        <v>499.79</v>
      </c>
      <c r="C27" s="5">
        <v>100.81</v>
      </c>
      <c r="D27" s="2"/>
    </row>
    <row r="28" spans="1:4" x14ac:dyDescent="0.25">
      <c r="A28" s="6" t="s">
        <v>29</v>
      </c>
      <c r="B28" s="6">
        <v>492</v>
      </c>
      <c r="C28" s="6">
        <v>103.15</v>
      </c>
      <c r="D28" s="2"/>
    </row>
    <row r="29" spans="1:4" x14ac:dyDescent="0.25">
      <c r="A29" s="5" t="s">
        <v>30</v>
      </c>
      <c r="B29" s="5">
        <v>486.45</v>
      </c>
      <c r="C29" s="5">
        <v>105.82</v>
      </c>
      <c r="D29" s="2"/>
    </row>
    <row r="30" spans="1:4" x14ac:dyDescent="0.25">
      <c r="A30" s="6" t="s">
        <v>31</v>
      </c>
      <c r="B30" s="6">
        <v>506.23</v>
      </c>
      <c r="C30" s="6">
        <v>113.49</v>
      </c>
      <c r="D30" s="2"/>
    </row>
    <row r="31" spans="1:4" x14ac:dyDescent="0.25">
      <c r="A31" s="5" t="s">
        <v>32</v>
      </c>
      <c r="B31" s="5">
        <v>511.29</v>
      </c>
      <c r="C31" s="5">
        <v>108.38</v>
      </c>
      <c r="D31" s="2"/>
    </row>
    <row r="32" spans="1:4" x14ac:dyDescent="0.25">
      <c r="A32" s="6" t="s">
        <v>33</v>
      </c>
      <c r="B32" s="6">
        <v>548.37</v>
      </c>
      <c r="C32" s="6">
        <v>114.21</v>
      </c>
      <c r="D32" s="2"/>
    </row>
    <row r="33" spans="1:4" x14ac:dyDescent="0.25">
      <c r="A33" s="5" t="s">
        <v>34</v>
      </c>
      <c r="B33" s="5">
        <v>541.33000000000004</v>
      </c>
      <c r="C33" s="5">
        <v>107.56</v>
      </c>
      <c r="D33" s="2"/>
    </row>
    <row r="34" spans="1:4" x14ac:dyDescent="0.25">
      <c r="A34" s="6" t="s">
        <v>35</v>
      </c>
      <c r="B34" s="6">
        <v>600.52</v>
      </c>
      <c r="C34" s="6">
        <v>116.1</v>
      </c>
      <c r="D34" s="2"/>
    </row>
    <row r="35" spans="1:4" x14ac:dyDescent="0.25">
      <c r="A35" s="5" t="s">
        <v>36</v>
      </c>
      <c r="B35" s="5">
        <v>607.26</v>
      </c>
      <c r="C35" s="5">
        <v>114.01</v>
      </c>
      <c r="D35" s="2"/>
    </row>
    <row r="36" spans="1:4" x14ac:dyDescent="0.25">
      <c r="A36" s="6" t="s">
        <v>37</v>
      </c>
      <c r="B36" s="6">
        <v>606.86</v>
      </c>
      <c r="C36" s="6">
        <v>109.15</v>
      </c>
      <c r="D36" s="2"/>
    </row>
    <row r="37" spans="1:4" x14ac:dyDescent="0.25">
      <c r="A37" s="5" t="s">
        <v>38</v>
      </c>
      <c r="B37" s="5">
        <v>598.04</v>
      </c>
      <c r="C37" s="5">
        <v>103.04</v>
      </c>
      <c r="D37" s="2"/>
    </row>
    <row r="38" spans="1:4" x14ac:dyDescent="0.25">
      <c r="A38" s="6" t="s">
        <v>39</v>
      </c>
      <c r="B38" s="6">
        <v>631.54999999999995</v>
      </c>
      <c r="C38" s="6">
        <v>100.79</v>
      </c>
      <c r="D38" s="2"/>
    </row>
    <row r="39" spans="1:4" x14ac:dyDescent="0.25">
      <c r="A39" s="5" t="s">
        <v>40</v>
      </c>
      <c r="B39" s="5">
        <v>617.66999999999996</v>
      </c>
      <c r="C39" s="5">
        <v>104.59</v>
      </c>
      <c r="D39" s="2"/>
    </row>
    <row r="40" spans="1:4" x14ac:dyDescent="0.25">
      <c r="A40" s="6" t="s">
        <v>41</v>
      </c>
      <c r="B40" s="6">
        <v>630.05999999999995</v>
      </c>
      <c r="C40" s="6">
        <v>108.61</v>
      </c>
      <c r="D40" s="2"/>
    </row>
    <row r="41" spans="1:4" x14ac:dyDescent="0.25">
      <c r="A41" s="5" t="s">
        <v>42</v>
      </c>
      <c r="B41" s="5">
        <v>622.72</v>
      </c>
      <c r="C41" s="5">
        <v>115.59</v>
      </c>
      <c r="D41" s="2"/>
    </row>
    <row r="42" spans="1:4" x14ac:dyDescent="0.25">
      <c r="A42" s="6" t="s">
        <v>43</v>
      </c>
      <c r="B42" s="6">
        <v>624.5</v>
      </c>
      <c r="C42" s="6">
        <v>122.88</v>
      </c>
      <c r="D42" s="2"/>
    </row>
    <row r="43" spans="1:4" x14ac:dyDescent="0.25">
      <c r="A43" s="5" t="s">
        <v>44</v>
      </c>
      <c r="B43" s="5">
        <v>631.70000000000005</v>
      </c>
      <c r="C43" s="5">
        <v>125.08</v>
      </c>
      <c r="D43" s="2"/>
    </row>
    <row r="44" spans="1:4" x14ac:dyDescent="0.25">
      <c r="A44" s="6" t="s">
        <v>45</v>
      </c>
      <c r="B44" s="6">
        <v>632.1</v>
      </c>
      <c r="C44" s="6">
        <v>130.94999999999999</v>
      </c>
      <c r="D44" s="2"/>
    </row>
    <row r="45" spans="1:4" x14ac:dyDescent="0.25">
      <c r="A45" s="5" t="s">
        <v>46</v>
      </c>
      <c r="B45" s="5">
        <v>641.79999999999995</v>
      </c>
      <c r="C45" s="5">
        <v>128.72</v>
      </c>
      <c r="D45" s="2"/>
    </row>
    <row r="46" spans="1:4" x14ac:dyDescent="0.25">
      <c r="A46" s="6" t="s">
        <v>47</v>
      </c>
      <c r="B46" s="6">
        <v>652.1</v>
      </c>
      <c r="C46" s="6">
        <v>133.99</v>
      </c>
      <c r="D46" s="2"/>
    </row>
    <row r="47" spans="1:4" x14ac:dyDescent="0.25">
      <c r="A47" s="5" t="s">
        <v>48</v>
      </c>
      <c r="B47" s="5">
        <v>609.20000000000005</v>
      </c>
      <c r="C47" s="5">
        <v>130.34</v>
      </c>
      <c r="D47" s="2"/>
    </row>
    <row r="48" spans="1:4" x14ac:dyDescent="0.25">
      <c r="A48" s="6" t="s">
        <v>49</v>
      </c>
      <c r="B48" s="6">
        <v>591.4</v>
      </c>
      <c r="C48" s="6">
        <v>129.69</v>
      </c>
      <c r="D48" s="2"/>
    </row>
    <row r="49" spans="1:4" x14ac:dyDescent="0.25">
      <c r="A49" s="5" t="s">
        <v>50</v>
      </c>
      <c r="B49" s="5">
        <v>546.9</v>
      </c>
      <c r="C49" s="5">
        <v>126.57</v>
      </c>
      <c r="D49" s="2"/>
    </row>
    <row r="50" spans="1:4" x14ac:dyDescent="0.25">
      <c r="A50" s="6" t="s">
        <v>51</v>
      </c>
      <c r="B50" s="6">
        <v>536.20000000000005</v>
      </c>
      <c r="C50" s="6">
        <v>151.69</v>
      </c>
      <c r="D50" s="2"/>
    </row>
    <row r="51" spans="1:4" x14ac:dyDescent="0.25">
      <c r="A51" s="5" t="s">
        <v>52</v>
      </c>
      <c r="B51" s="5">
        <v>514.20000000000005</v>
      </c>
      <c r="C51" s="5">
        <v>153.38999999999999</v>
      </c>
      <c r="D51" s="2"/>
    </row>
    <row r="52" spans="1:4" x14ac:dyDescent="0.25">
      <c r="A52" s="6" t="s">
        <v>53</v>
      </c>
      <c r="B52" s="6">
        <v>554.70000000000005</v>
      </c>
      <c r="C52" s="6">
        <v>156.66999999999999</v>
      </c>
      <c r="D52" s="2"/>
    </row>
    <row r="53" spans="1:4" x14ac:dyDescent="0.25">
      <c r="A53" s="5" t="s">
        <v>54</v>
      </c>
      <c r="B53" s="5">
        <v>544.1</v>
      </c>
      <c r="C53" s="5">
        <v>155.05000000000001</v>
      </c>
      <c r="D53" s="2"/>
    </row>
    <row r="54" spans="1:4" x14ac:dyDescent="0.25">
      <c r="A54" s="6" t="s">
        <v>55</v>
      </c>
      <c r="B54" s="6">
        <v>502.2</v>
      </c>
      <c r="C54" s="6">
        <v>143.76</v>
      </c>
      <c r="D54" s="2"/>
    </row>
    <row r="55" spans="1:4" x14ac:dyDescent="0.25">
      <c r="A55" s="5" t="s">
        <v>56</v>
      </c>
      <c r="B55" s="5">
        <v>504.5</v>
      </c>
      <c r="C55" s="5">
        <v>148.27000000000001</v>
      </c>
      <c r="D55" s="2"/>
    </row>
    <row r="56" spans="1:4" x14ac:dyDescent="0.25">
      <c r="A56" s="6" t="s">
        <v>57</v>
      </c>
      <c r="B56" s="6">
        <v>504.5</v>
      </c>
      <c r="C56" s="6">
        <v>148.27000000000001</v>
      </c>
      <c r="D56" s="2"/>
    </row>
    <row r="57" spans="1:4" x14ac:dyDescent="0.25">
      <c r="A57" s="2"/>
      <c r="B57" s="2"/>
      <c r="C57" s="2"/>
      <c r="D57" s="2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7"/>
  <sheetViews>
    <sheetView zoomScaleNormal="100" workbookViewId="0">
      <pane ySplit="2" topLeftCell="A3" activePane="bottomLeft" state="frozen"/>
      <selection pane="bottomLeft" activeCell="B13" sqref="B13"/>
    </sheetView>
  </sheetViews>
  <sheetFormatPr defaultColWidth="8.7109375" defaultRowHeight="15" x14ac:dyDescent="0.25"/>
  <cols>
    <col min="1" max="1" width="17" style="8" customWidth="1"/>
    <col min="2" max="2" width="14.85546875" style="8" customWidth="1"/>
    <col min="3" max="3" width="16.7109375" style="8" customWidth="1"/>
    <col min="4" max="4" width="15.42578125" style="8" customWidth="1"/>
    <col min="5" max="5" width="14.140625" style="8" customWidth="1"/>
    <col min="6" max="6" width="15.28515625" style="8" customWidth="1"/>
  </cols>
  <sheetData>
    <row r="1" spans="1:6" ht="15" customHeight="1" x14ac:dyDescent="0.25">
      <c r="A1" s="7" t="s">
        <v>58</v>
      </c>
      <c r="B1" s="7"/>
      <c r="C1" s="7"/>
      <c r="D1" s="7"/>
      <c r="E1" s="7"/>
      <c r="F1" s="7"/>
    </row>
    <row r="2" spans="1:6" x14ac:dyDescent="0.25">
      <c r="A2" s="9" t="s">
        <v>1</v>
      </c>
      <c r="B2" s="9" t="s">
        <v>59</v>
      </c>
      <c r="C2" s="9" t="s">
        <v>60</v>
      </c>
      <c r="D2" s="9" t="s">
        <v>61</v>
      </c>
      <c r="E2" s="9" t="s">
        <v>62</v>
      </c>
      <c r="F2" s="9" t="s">
        <v>63</v>
      </c>
    </row>
    <row r="3" spans="1:6" x14ac:dyDescent="0.25">
      <c r="A3" s="10" t="s">
        <v>4</v>
      </c>
      <c r="B3" s="10">
        <v>590.92999999999995</v>
      </c>
      <c r="C3" s="10">
        <v>69.45</v>
      </c>
    </row>
    <row r="4" spans="1:6" x14ac:dyDescent="0.25">
      <c r="A4" s="11" t="s">
        <v>5</v>
      </c>
      <c r="B4" s="11">
        <v>588.39</v>
      </c>
      <c r="C4" s="11">
        <v>72.08</v>
      </c>
    </row>
    <row r="5" spans="1:6" x14ac:dyDescent="0.25">
      <c r="A5" s="10" t="s">
        <v>6</v>
      </c>
      <c r="B5" s="10">
        <v>573.35</v>
      </c>
      <c r="C5" s="10">
        <v>69.25</v>
      </c>
      <c r="D5" s="12">
        <f t="shared" ref="D5:D36" si="0">(B5-B4)/B4</f>
        <v>-2.5561277384047933E-2</v>
      </c>
      <c r="E5" s="12">
        <f>(C5-C4)/C4</f>
        <v>-3.9261931187569342E-2</v>
      </c>
      <c r="F5" s="12">
        <f>(D5+E5)/2</f>
        <v>-3.2411604285808637E-2</v>
      </c>
    </row>
    <row r="6" spans="1:6" x14ac:dyDescent="0.25">
      <c r="A6" s="11" t="s">
        <v>7</v>
      </c>
      <c r="B6" s="11">
        <v>517.59</v>
      </c>
      <c r="C6" s="11">
        <v>62.04</v>
      </c>
      <c r="D6" s="13">
        <f t="shared" si="0"/>
        <v>-9.7252986831778132E-2</v>
      </c>
      <c r="E6" s="13">
        <f t="shared" ref="E5:E36" si="1">(C6-C5)/C5</f>
        <v>-0.10411552346570398</v>
      </c>
      <c r="F6" s="13">
        <f t="shared" ref="F5:F36" si="2">(D6+E6)/2</f>
        <v>-0.10068425514874105</v>
      </c>
    </row>
    <row r="7" spans="1:6" x14ac:dyDescent="0.25">
      <c r="A7" s="10" t="s">
        <v>8</v>
      </c>
      <c r="B7" s="10">
        <v>512.12</v>
      </c>
      <c r="C7" s="10">
        <v>62.5</v>
      </c>
      <c r="D7" s="12">
        <f t="shared" si="0"/>
        <v>-1.0568210359551048E-2</v>
      </c>
      <c r="E7" s="12">
        <f t="shared" si="1"/>
        <v>7.4145712443584927E-3</v>
      </c>
      <c r="F7" s="12">
        <f t="shared" si="2"/>
        <v>-1.5768195575962779E-3</v>
      </c>
    </row>
    <row r="8" spans="1:6" x14ac:dyDescent="0.25">
      <c r="A8" s="11" t="s">
        <v>9</v>
      </c>
      <c r="B8" s="11">
        <v>474.23</v>
      </c>
      <c r="C8" s="11">
        <v>62.73</v>
      </c>
      <c r="D8" s="13">
        <f t="shared" si="0"/>
        <v>-7.3986565648676061E-2</v>
      </c>
      <c r="E8" s="13">
        <f t="shared" si="1"/>
        <v>3.6799999999999498E-3</v>
      </c>
      <c r="F8" s="13">
        <f t="shared" si="2"/>
        <v>-3.5153282824338057E-2</v>
      </c>
    </row>
    <row r="9" spans="1:6" x14ac:dyDescent="0.25">
      <c r="A9" s="10" t="s">
        <v>10</v>
      </c>
      <c r="B9" s="10">
        <v>487.12</v>
      </c>
      <c r="C9" s="10">
        <v>67.900000000000006</v>
      </c>
      <c r="D9" s="12">
        <f t="shared" si="0"/>
        <v>2.7180903780865795E-2</v>
      </c>
      <c r="E9" s="12">
        <f t="shared" si="1"/>
        <v>8.2416706520006516E-2</v>
      </c>
      <c r="F9" s="12">
        <f t="shared" si="2"/>
        <v>5.4798805150436156E-2</v>
      </c>
    </row>
    <row r="10" spans="1:6" x14ac:dyDescent="0.25">
      <c r="A10" s="11" t="s">
        <v>11</v>
      </c>
      <c r="B10" s="11">
        <v>491.61</v>
      </c>
      <c r="C10" s="11">
        <v>71.72</v>
      </c>
      <c r="D10" s="13">
        <f t="shared" si="0"/>
        <v>9.2174412875677628E-3</v>
      </c>
      <c r="E10" s="13">
        <f t="shared" si="1"/>
        <v>5.6259204712812858E-2</v>
      </c>
      <c r="F10" s="13">
        <f t="shared" si="2"/>
        <v>3.2738323000190313E-2</v>
      </c>
    </row>
    <row r="11" spans="1:6" x14ac:dyDescent="0.25">
      <c r="A11" s="10" t="s">
        <v>12</v>
      </c>
      <c r="B11" s="10">
        <v>491.51</v>
      </c>
      <c r="C11" s="10">
        <v>76.900000000000006</v>
      </c>
      <c r="D11" s="12">
        <f t="shared" si="0"/>
        <v>-2.0341327475035644E-4</v>
      </c>
      <c r="E11" s="12">
        <f t="shared" si="1"/>
        <v>7.2225320691578457E-2</v>
      </c>
      <c r="F11" s="12">
        <f t="shared" si="2"/>
        <v>3.6010953708414048E-2</v>
      </c>
    </row>
    <row r="12" spans="1:6" x14ac:dyDescent="0.25">
      <c r="A12" s="11" t="s">
        <v>13</v>
      </c>
      <c r="B12" s="11">
        <v>499.59</v>
      </c>
      <c r="C12" s="11">
        <v>81.64</v>
      </c>
      <c r="D12" s="13">
        <f t="shared" si="0"/>
        <v>1.643913653842238E-2</v>
      </c>
      <c r="E12" s="13">
        <f t="shared" si="1"/>
        <v>6.1638491547464168E-2</v>
      </c>
      <c r="F12" s="13">
        <f t="shared" si="2"/>
        <v>3.9038814042943272E-2</v>
      </c>
    </row>
    <row r="13" spans="1:6" x14ac:dyDescent="0.25">
      <c r="A13" s="10" t="s">
        <v>14</v>
      </c>
      <c r="B13" s="10">
        <v>474.9</v>
      </c>
      <c r="C13" s="10">
        <v>75.77</v>
      </c>
      <c r="D13" s="12">
        <f t="shared" si="0"/>
        <v>-4.9420524830360892E-2</v>
      </c>
      <c r="E13" s="12">
        <f t="shared" si="1"/>
        <v>-7.1901028907398384E-2</v>
      </c>
      <c r="F13" s="12">
        <f t="shared" si="2"/>
        <v>-6.0660776868879634E-2</v>
      </c>
    </row>
    <row r="14" spans="1:6" x14ac:dyDescent="0.25">
      <c r="A14" s="11" t="s">
        <v>15</v>
      </c>
      <c r="B14" s="11">
        <v>474.16</v>
      </c>
      <c r="C14" s="11">
        <v>77.430000000000007</v>
      </c>
      <c r="D14" s="13">
        <f t="shared" si="0"/>
        <v>-1.5582227837438456E-3</v>
      </c>
      <c r="E14" s="13">
        <f t="shared" si="1"/>
        <v>2.190840702124866E-2</v>
      </c>
      <c r="F14" s="13">
        <f t="shared" si="2"/>
        <v>1.0175092118752407E-2</v>
      </c>
    </row>
    <row r="15" spans="1:6" x14ac:dyDescent="0.25">
      <c r="A15" s="10" t="s">
        <v>16</v>
      </c>
      <c r="B15" s="10">
        <v>467.22</v>
      </c>
      <c r="C15" s="10">
        <v>77.819999999999993</v>
      </c>
      <c r="D15" s="12">
        <f t="shared" si="0"/>
        <v>-1.4636409650750797E-2</v>
      </c>
      <c r="E15" s="12">
        <f t="shared" si="1"/>
        <v>5.0368074389769641E-3</v>
      </c>
      <c r="F15" s="12">
        <f t="shared" si="2"/>
        <v>-4.7998011058869167E-3</v>
      </c>
    </row>
    <row r="16" spans="1:6" x14ac:dyDescent="0.25">
      <c r="A16" s="11" t="s">
        <v>17</v>
      </c>
      <c r="B16" s="11">
        <v>457.45</v>
      </c>
      <c r="C16" s="11">
        <v>78.13</v>
      </c>
      <c r="D16" s="13">
        <f t="shared" si="0"/>
        <v>-2.0910919909250543E-2</v>
      </c>
      <c r="E16" s="13">
        <f t="shared" si="1"/>
        <v>3.9835517861732499E-3</v>
      </c>
      <c r="F16" s="13">
        <f t="shared" si="2"/>
        <v>-8.4636840615386465E-3</v>
      </c>
    </row>
    <row r="17" spans="1:6" x14ac:dyDescent="0.25">
      <c r="A17" s="10" t="s">
        <v>18</v>
      </c>
      <c r="B17" s="10">
        <v>446.1</v>
      </c>
      <c r="C17" s="10">
        <v>83.5</v>
      </c>
      <c r="D17" s="12">
        <f t="shared" si="0"/>
        <v>-2.4811454803803621E-2</v>
      </c>
      <c r="E17" s="12">
        <f t="shared" si="1"/>
        <v>6.8731601177524707E-2</v>
      </c>
      <c r="F17" s="12">
        <f t="shared" si="2"/>
        <v>2.1960073186860544E-2</v>
      </c>
    </row>
    <row r="18" spans="1:6" x14ac:dyDescent="0.25">
      <c r="A18" s="11" t="s">
        <v>19</v>
      </c>
      <c r="B18" s="11">
        <v>445.46</v>
      </c>
      <c r="C18" s="11">
        <v>86.25</v>
      </c>
      <c r="D18" s="13">
        <f t="shared" si="0"/>
        <v>-1.4346559067474629E-3</v>
      </c>
      <c r="E18" s="13">
        <f t="shared" si="1"/>
        <v>3.2934131736526949E-2</v>
      </c>
      <c r="F18" s="13">
        <f t="shared" si="2"/>
        <v>1.5749737914889744E-2</v>
      </c>
    </row>
    <row r="19" spans="1:6" x14ac:dyDescent="0.25">
      <c r="A19" s="10" t="s">
        <v>20</v>
      </c>
      <c r="B19" s="10">
        <v>473.26</v>
      </c>
      <c r="C19" s="10">
        <v>89.31</v>
      </c>
      <c r="D19" s="12">
        <f t="shared" si="0"/>
        <v>6.2407399093072358E-2</v>
      </c>
      <c r="E19" s="12">
        <f t="shared" si="1"/>
        <v>3.5478260869565244E-2</v>
      </c>
      <c r="F19" s="12">
        <f t="shared" si="2"/>
        <v>4.8942829981318797E-2</v>
      </c>
    </row>
    <row r="20" spans="1:6" x14ac:dyDescent="0.25">
      <c r="A20" s="11" t="s">
        <v>21</v>
      </c>
      <c r="B20" s="11">
        <v>483.53</v>
      </c>
      <c r="C20" s="11">
        <v>97.46</v>
      </c>
      <c r="D20" s="13">
        <f t="shared" si="0"/>
        <v>2.1700545154883111E-2</v>
      </c>
      <c r="E20" s="13">
        <f t="shared" si="1"/>
        <v>9.1255178591423042E-2</v>
      </c>
      <c r="F20" s="13">
        <f t="shared" si="2"/>
        <v>5.6477861873153075E-2</v>
      </c>
    </row>
    <row r="21" spans="1:6" x14ac:dyDescent="0.25">
      <c r="A21" s="10" t="s">
        <v>22</v>
      </c>
      <c r="B21" s="10">
        <v>468.7</v>
      </c>
      <c r="C21" s="10">
        <v>102.4</v>
      </c>
      <c r="D21" s="12">
        <f t="shared" si="0"/>
        <v>-3.0670278989928204E-2</v>
      </c>
      <c r="E21" s="12">
        <f t="shared" si="1"/>
        <v>5.0687461522676093E-2</v>
      </c>
      <c r="F21" s="12">
        <f t="shared" si="2"/>
        <v>1.0008591266373944E-2</v>
      </c>
    </row>
    <row r="22" spans="1:6" x14ac:dyDescent="0.25">
      <c r="A22" s="11" t="s">
        <v>23</v>
      </c>
      <c r="B22" s="11">
        <v>484.52</v>
      </c>
      <c r="C22" s="11">
        <v>107.27</v>
      </c>
      <c r="D22" s="13">
        <f t="shared" si="0"/>
        <v>3.375293364625559E-2</v>
      </c>
      <c r="E22" s="13">
        <f t="shared" si="1"/>
        <v>4.7558593749999906E-2</v>
      </c>
      <c r="F22" s="13">
        <f t="shared" si="2"/>
        <v>4.0655763698127748E-2</v>
      </c>
    </row>
    <row r="23" spans="1:6" x14ac:dyDescent="0.25">
      <c r="A23" s="10" t="s">
        <v>24</v>
      </c>
      <c r="B23" s="10">
        <v>457.7</v>
      </c>
      <c r="C23" s="10">
        <v>105.26</v>
      </c>
      <c r="D23" s="12">
        <f t="shared" si="0"/>
        <v>-5.5353752167093193E-2</v>
      </c>
      <c r="E23" s="12">
        <f t="shared" si="1"/>
        <v>-1.8737764519436852E-2</v>
      </c>
      <c r="F23" s="12">
        <f t="shared" si="2"/>
        <v>-3.7045758343265026E-2</v>
      </c>
    </row>
    <row r="24" spans="1:6" x14ac:dyDescent="0.25">
      <c r="A24" s="11" t="s">
        <v>25</v>
      </c>
      <c r="B24" s="11">
        <v>457.4</v>
      </c>
      <c r="C24" s="11">
        <v>108.01</v>
      </c>
      <c r="D24" s="13">
        <f t="shared" si="0"/>
        <v>-6.5545116888794273E-4</v>
      </c>
      <c r="E24" s="13">
        <f t="shared" si="1"/>
        <v>2.6125783773513205E-2</v>
      </c>
      <c r="F24" s="13">
        <f t="shared" si="2"/>
        <v>1.2735166302312631E-2</v>
      </c>
    </row>
    <row r="25" spans="1:6" x14ac:dyDescent="0.25">
      <c r="A25" s="10" t="s">
        <v>26</v>
      </c>
      <c r="B25" s="10">
        <v>472.03</v>
      </c>
      <c r="C25" s="10">
        <v>99.74</v>
      </c>
      <c r="D25" s="12">
        <f t="shared" si="0"/>
        <v>3.1985133362483598E-2</v>
      </c>
      <c r="E25" s="12">
        <f t="shared" si="1"/>
        <v>-7.6566984538468746E-2</v>
      </c>
      <c r="F25" s="12">
        <f t="shared" si="2"/>
        <v>-2.2290925587992574E-2</v>
      </c>
    </row>
    <row r="26" spans="1:6" x14ac:dyDescent="0.25">
      <c r="A26" s="11" t="s">
        <v>27</v>
      </c>
      <c r="B26" s="11">
        <v>490.86</v>
      </c>
      <c r="C26" s="11">
        <v>98.67</v>
      </c>
      <c r="D26" s="13">
        <f t="shared" si="0"/>
        <v>3.9891532317861245E-2</v>
      </c>
      <c r="E26" s="13">
        <f t="shared" si="1"/>
        <v>-1.0727892520553371E-2</v>
      </c>
      <c r="F26" s="13">
        <f t="shared" si="2"/>
        <v>1.4581819898653937E-2</v>
      </c>
    </row>
    <row r="27" spans="1:6" x14ac:dyDescent="0.25">
      <c r="A27" s="10" t="s">
        <v>28</v>
      </c>
      <c r="B27" s="10">
        <v>499.79</v>
      </c>
      <c r="C27" s="10">
        <v>100.81</v>
      </c>
      <c r="D27" s="12">
        <f t="shared" si="0"/>
        <v>1.8192559996740427E-2</v>
      </c>
      <c r="E27" s="12">
        <f t="shared" si="1"/>
        <v>2.1688456471065171E-2</v>
      </c>
      <c r="F27" s="12">
        <f t="shared" si="2"/>
        <v>1.9940508233902799E-2</v>
      </c>
    </row>
    <row r="28" spans="1:6" x14ac:dyDescent="0.25">
      <c r="A28" s="11" t="s">
        <v>29</v>
      </c>
      <c r="B28" s="11">
        <v>492</v>
      </c>
      <c r="C28" s="11">
        <v>103.15</v>
      </c>
      <c r="D28" s="13">
        <f t="shared" si="0"/>
        <v>-1.5586546349466816E-2</v>
      </c>
      <c r="E28" s="13">
        <f t="shared" si="1"/>
        <v>2.321198293820061E-2</v>
      </c>
      <c r="F28" s="13">
        <f t="shared" si="2"/>
        <v>3.8127182943668968E-3</v>
      </c>
    </row>
    <row r="29" spans="1:6" x14ac:dyDescent="0.25">
      <c r="A29" s="10" t="s">
        <v>30</v>
      </c>
      <c r="B29" s="10">
        <v>486.45</v>
      </c>
      <c r="C29" s="10">
        <v>105.82</v>
      </c>
      <c r="D29" s="12">
        <f t="shared" si="0"/>
        <v>-1.1280487804878073E-2</v>
      </c>
      <c r="E29" s="12">
        <f t="shared" si="1"/>
        <v>2.5884634028114275E-2</v>
      </c>
      <c r="F29" s="12">
        <f t="shared" si="2"/>
        <v>7.3020731116181011E-3</v>
      </c>
    </row>
    <row r="30" spans="1:6" x14ac:dyDescent="0.25">
      <c r="A30" s="11" t="s">
        <v>31</v>
      </c>
      <c r="B30" s="11">
        <v>506.23</v>
      </c>
      <c r="C30" s="11">
        <v>113.49</v>
      </c>
      <c r="D30" s="13">
        <f t="shared" si="0"/>
        <v>4.0661938534279018E-2</v>
      </c>
      <c r="E30" s="13">
        <f t="shared" si="1"/>
        <v>7.2481572481572498E-2</v>
      </c>
      <c r="F30" s="13">
        <f t="shared" si="2"/>
        <v>5.6571755507925758E-2</v>
      </c>
    </row>
    <row r="31" spans="1:6" x14ac:dyDescent="0.25">
      <c r="A31" s="10" t="s">
        <v>32</v>
      </c>
      <c r="B31" s="10">
        <v>511.29</v>
      </c>
      <c r="C31" s="10">
        <v>108.38</v>
      </c>
      <c r="D31" s="12">
        <f t="shared" si="0"/>
        <v>9.9954566106315347E-3</v>
      </c>
      <c r="E31" s="12">
        <f t="shared" si="1"/>
        <v>-4.5025993479601727E-2</v>
      </c>
      <c r="F31" s="12">
        <f t="shared" si="2"/>
        <v>-1.7515268434485094E-2</v>
      </c>
    </row>
    <row r="32" spans="1:6" x14ac:dyDescent="0.25">
      <c r="A32" s="11" t="s">
        <v>33</v>
      </c>
      <c r="B32" s="11">
        <v>548.37</v>
      </c>
      <c r="C32" s="11">
        <v>114.21</v>
      </c>
      <c r="D32" s="13">
        <f t="shared" si="0"/>
        <v>7.2522443231825343E-2</v>
      </c>
      <c r="E32" s="13">
        <f t="shared" si="1"/>
        <v>5.3792212585347839E-2</v>
      </c>
      <c r="F32" s="13">
        <f t="shared" si="2"/>
        <v>6.3157327908586594E-2</v>
      </c>
    </row>
    <row r="33" spans="1:6" x14ac:dyDescent="0.25">
      <c r="A33" s="10" t="s">
        <v>34</v>
      </c>
      <c r="B33" s="10">
        <v>541.33000000000004</v>
      </c>
      <c r="C33" s="10">
        <v>107.56</v>
      </c>
      <c r="D33" s="12">
        <f t="shared" si="0"/>
        <v>-1.2838047303827642E-2</v>
      </c>
      <c r="E33" s="12">
        <f t="shared" si="1"/>
        <v>-5.8226074774538061E-2</v>
      </c>
      <c r="F33" s="12">
        <f t="shared" si="2"/>
        <v>-3.5532061039182855E-2</v>
      </c>
    </row>
    <row r="34" spans="1:6" x14ac:dyDescent="0.25">
      <c r="A34" s="11" t="s">
        <v>35</v>
      </c>
      <c r="B34" s="11">
        <v>600.52</v>
      </c>
      <c r="C34" s="11">
        <v>116.1</v>
      </c>
      <c r="D34" s="13">
        <f t="shared" si="0"/>
        <v>0.10934180629191055</v>
      </c>
      <c r="E34" s="13">
        <f t="shared" si="1"/>
        <v>7.9397545555968688E-2</v>
      </c>
      <c r="F34" s="13">
        <f t="shared" si="2"/>
        <v>9.4369675923939619E-2</v>
      </c>
    </row>
    <row r="35" spans="1:6" x14ac:dyDescent="0.25">
      <c r="A35" s="10" t="s">
        <v>36</v>
      </c>
      <c r="B35" s="10">
        <v>607.26</v>
      </c>
      <c r="C35" s="10">
        <v>114.01</v>
      </c>
      <c r="D35" s="12">
        <f t="shared" si="0"/>
        <v>1.1223606207953122E-2</v>
      </c>
      <c r="E35" s="12">
        <f t="shared" si="1"/>
        <v>-1.8001722652885351E-2</v>
      </c>
      <c r="F35" s="12">
        <f t="shared" si="2"/>
        <v>-3.3890582224661145E-3</v>
      </c>
    </row>
    <row r="36" spans="1:6" x14ac:dyDescent="0.25">
      <c r="A36" s="11" t="s">
        <v>37</v>
      </c>
      <c r="B36" s="11">
        <v>606.86</v>
      </c>
      <c r="C36" s="11">
        <v>109.15</v>
      </c>
      <c r="D36" s="13">
        <f t="shared" si="0"/>
        <v>-6.5869643974570573E-4</v>
      </c>
      <c r="E36" s="13">
        <f t="shared" si="1"/>
        <v>-4.2627839663187436E-2</v>
      </c>
      <c r="F36" s="13">
        <f t="shared" si="2"/>
        <v>-2.1643268051466571E-2</v>
      </c>
    </row>
    <row r="37" spans="1:6" x14ac:dyDescent="0.25">
      <c r="A37" s="10" t="s">
        <v>38</v>
      </c>
      <c r="B37" s="10">
        <v>598.04</v>
      </c>
      <c r="C37" s="10">
        <v>103.04</v>
      </c>
      <c r="D37" s="12">
        <f t="shared" ref="D37:D57" si="3">(B37-B36)/B36</f>
        <v>-1.4533829878390485E-2</v>
      </c>
      <c r="E37" s="12">
        <f t="shared" ref="E37:E57" si="4">(C37-C36)/C36</f>
        <v>-5.5978011910215293E-2</v>
      </c>
      <c r="F37" s="12">
        <f t="shared" ref="F37:F68" si="5">(D37+E37)/2</f>
        <v>-3.5255920894302892E-2</v>
      </c>
    </row>
    <row r="38" spans="1:6" x14ac:dyDescent="0.25">
      <c r="A38" s="11" t="s">
        <v>39</v>
      </c>
      <c r="B38" s="11">
        <v>631.54999999999995</v>
      </c>
      <c r="C38" s="11">
        <v>100.79</v>
      </c>
      <c r="D38" s="13">
        <f t="shared" si="3"/>
        <v>5.603304126814259E-2</v>
      </c>
      <c r="E38" s="13">
        <f t="shared" si="4"/>
        <v>-2.18361801242236E-2</v>
      </c>
      <c r="F38" s="13">
        <f t="shared" si="5"/>
        <v>1.7098430571959495E-2</v>
      </c>
    </row>
    <row r="39" spans="1:6" x14ac:dyDescent="0.25">
      <c r="A39" s="10" t="s">
        <v>40</v>
      </c>
      <c r="B39" s="10">
        <v>617.66999999999996</v>
      </c>
      <c r="C39" s="10">
        <v>104.59</v>
      </c>
      <c r="D39" s="12">
        <f t="shared" si="3"/>
        <v>-2.1977673976723927E-2</v>
      </c>
      <c r="E39" s="12">
        <f t="shared" si="4"/>
        <v>3.7702152991368164E-2</v>
      </c>
      <c r="F39" s="12">
        <f t="shared" si="5"/>
        <v>7.8622395073221184E-3</v>
      </c>
    </row>
    <row r="40" spans="1:6" x14ac:dyDescent="0.25">
      <c r="A40" s="11" t="s">
        <v>41</v>
      </c>
      <c r="B40" s="11">
        <v>630.05999999999995</v>
      </c>
      <c r="C40" s="11">
        <v>108.61</v>
      </c>
      <c r="D40" s="13">
        <f t="shared" si="3"/>
        <v>2.0059254941959277E-2</v>
      </c>
      <c r="E40" s="13">
        <f t="shared" si="4"/>
        <v>3.843579692131175E-2</v>
      </c>
      <c r="F40" s="13">
        <f t="shared" si="5"/>
        <v>2.9247525931635515E-2</v>
      </c>
    </row>
    <row r="41" spans="1:6" x14ac:dyDescent="0.25">
      <c r="A41" s="10" t="s">
        <v>42</v>
      </c>
      <c r="B41" s="10">
        <v>622.72</v>
      </c>
      <c r="C41" s="10">
        <v>115.59</v>
      </c>
      <c r="D41" s="12">
        <f t="shared" si="3"/>
        <v>-1.1649684157064277E-2</v>
      </c>
      <c r="E41" s="12">
        <f t="shared" si="4"/>
        <v>6.4266642113985861E-2</v>
      </c>
      <c r="F41" s="12">
        <f t="shared" si="5"/>
        <v>2.6308478978460791E-2</v>
      </c>
    </row>
    <row r="42" spans="1:6" x14ac:dyDescent="0.25">
      <c r="A42" s="11" t="s">
        <v>43</v>
      </c>
      <c r="B42" s="11">
        <v>624.5</v>
      </c>
      <c r="C42" s="11">
        <v>122.88</v>
      </c>
      <c r="D42" s="13">
        <f t="shared" si="3"/>
        <v>2.8584275436792984E-3</v>
      </c>
      <c r="E42" s="13">
        <f t="shared" si="4"/>
        <v>6.3067739423825514E-2</v>
      </c>
      <c r="F42" s="13">
        <f t="shared" si="5"/>
        <v>3.2963083483752403E-2</v>
      </c>
    </row>
    <row r="43" spans="1:6" x14ac:dyDescent="0.25">
      <c r="A43" s="10" t="s">
        <v>44</v>
      </c>
      <c r="B43" s="10">
        <v>631.70000000000005</v>
      </c>
      <c r="C43" s="10">
        <v>125.08</v>
      </c>
      <c r="D43" s="12">
        <f t="shared" si="3"/>
        <v>1.1529223378703036E-2</v>
      </c>
      <c r="E43" s="12">
        <f t="shared" si="4"/>
        <v>1.7903645833333356E-2</v>
      </c>
      <c r="F43" s="12">
        <f t="shared" si="5"/>
        <v>1.4716434606018196E-2</v>
      </c>
    </row>
    <row r="44" spans="1:6" x14ac:dyDescent="0.25">
      <c r="A44" s="11" t="s">
        <v>45</v>
      </c>
      <c r="B44" s="11">
        <v>632.1</v>
      </c>
      <c r="C44" s="11">
        <v>130.94999999999999</v>
      </c>
      <c r="D44" s="13">
        <f t="shared" si="3"/>
        <v>6.3321196770615366E-4</v>
      </c>
      <c r="E44" s="13">
        <f t="shared" si="4"/>
        <v>4.6929964822513513E-2</v>
      </c>
      <c r="F44" s="13">
        <f t="shared" si="5"/>
        <v>2.3781588395109833E-2</v>
      </c>
    </row>
    <row r="45" spans="1:6" x14ac:dyDescent="0.25">
      <c r="A45" s="10" t="s">
        <v>46</v>
      </c>
      <c r="B45" s="10">
        <v>641.79999999999995</v>
      </c>
      <c r="C45" s="10">
        <v>128.72</v>
      </c>
      <c r="D45" s="12">
        <f t="shared" si="3"/>
        <v>1.5345673152982015E-2</v>
      </c>
      <c r="E45" s="12">
        <f t="shared" si="4"/>
        <v>-1.7029400534555098E-2</v>
      </c>
      <c r="F45" s="12">
        <f t="shared" si="5"/>
        <v>-8.4186369078654167E-4</v>
      </c>
    </row>
    <row r="46" spans="1:6" x14ac:dyDescent="0.25">
      <c r="A46" s="11" t="s">
        <v>47</v>
      </c>
      <c r="B46" s="11">
        <v>652.1</v>
      </c>
      <c r="C46" s="11">
        <v>133.99</v>
      </c>
      <c r="D46" s="13">
        <f t="shared" si="3"/>
        <v>1.6048613275163711E-2</v>
      </c>
      <c r="E46" s="13">
        <f t="shared" si="4"/>
        <v>4.0941578620261113E-2</v>
      </c>
      <c r="F46" s="13">
        <f t="shared" si="5"/>
        <v>2.8495095947712414E-2</v>
      </c>
    </row>
    <row r="47" spans="1:6" x14ac:dyDescent="0.25">
      <c r="A47" s="10" t="s">
        <v>48</v>
      </c>
      <c r="B47" s="10">
        <v>609.20000000000005</v>
      </c>
      <c r="C47" s="10">
        <v>130.34</v>
      </c>
      <c r="D47" s="12">
        <f t="shared" si="3"/>
        <v>-6.5787455911669956E-2</v>
      </c>
      <c r="E47" s="12">
        <f t="shared" si="4"/>
        <v>-2.7240838868572322E-2</v>
      </c>
      <c r="F47" s="12">
        <f t="shared" si="5"/>
        <v>-4.6514147390121136E-2</v>
      </c>
    </row>
    <row r="48" spans="1:6" x14ac:dyDescent="0.25">
      <c r="A48" s="11" t="s">
        <v>49</v>
      </c>
      <c r="B48" s="11">
        <v>591.4</v>
      </c>
      <c r="C48" s="11">
        <v>129.69</v>
      </c>
      <c r="D48" s="13">
        <f t="shared" si="3"/>
        <v>-2.9218647406434779E-2</v>
      </c>
      <c r="E48" s="13">
        <f t="shared" si="4"/>
        <v>-4.9869571888906377E-3</v>
      </c>
      <c r="F48" s="13">
        <f t="shared" si="5"/>
        <v>-1.7102802297662707E-2</v>
      </c>
    </row>
    <row r="49" spans="1:6" x14ac:dyDescent="0.25">
      <c r="A49" s="10" t="s">
        <v>50</v>
      </c>
      <c r="B49" s="10">
        <v>546.9</v>
      </c>
      <c r="C49" s="10">
        <v>126.57</v>
      </c>
      <c r="D49" s="12">
        <f t="shared" si="3"/>
        <v>-7.5245180926614821E-2</v>
      </c>
      <c r="E49" s="12">
        <f t="shared" si="4"/>
        <v>-2.4057367568817985E-2</v>
      </c>
      <c r="F49" s="12">
        <f t="shared" si="5"/>
        <v>-4.9651274247716405E-2</v>
      </c>
    </row>
    <row r="50" spans="1:6" x14ac:dyDescent="0.25">
      <c r="A50" s="11" t="s">
        <v>51</v>
      </c>
      <c r="B50" s="11">
        <v>536.20000000000005</v>
      </c>
      <c r="C50" s="11">
        <v>151.69</v>
      </c>
      <c r="D50" s="13">
        <f t="shared" si="3"/>
        <v>-1.956481989394758E-2</v>
      </c>
      <c r="E50" s="13">
        <f t="shared" si="4"/>
        <v>0.19846725132337842</v>
      </c>
      <c r="F50" s="13">
        <f t="shared" si="5"/>
        <v>8.9451215714715426E-2</v>
      </c>
    </row>
    <row r="51" spans="1:6" x14ac:dyDescent="0.25">
      <c r="A51" s="10" t="s">
        <v>52</v>
      </c>
      <c r="B51" s="10">
        <v>514.20000000000005</v>
      </c>
      <c r="C51" s="10">
        <v>153.38999999999999</v>
      </c>
      <c r="D51" s="12">
        <f t="shared" si="3"/>
        <v>-4.1029466616933977E-2</v>
      </c>
      <c r="E51" s="12">
        <f t="shared" si="4"/>
        <v>1.1207067044630422E-2</v>
      </c>
      <c r="F51" s="12">
        <f t="shared" si="5"/>
        <v>-1.4911199786151777E-2</v>
      </c>
    </row>
    <row r="52" spans="1:6" x14ac:dyDescent="0.25">
      <c r="A52" s="11" t="s">
        <v>53</v>
      </c>
      <c r="B52" s="11">
        <v>554.70000000000005</v>
      </c>
      <c r="C52" s="11">
        <v>156.66999999999999</v>
      </c>
      <c r="D52" s="13">
        <f t="shared" si="3"/>
        <v>7.8763127187864643E-2</v>
      </c>
      <c r="E52" s="13">
        <f t="shared" si="4"/>
        <v>2.1383401786296378E-2</v>
      </c>
      <c r="F52" s="13">
        <f t="shared" si="5"/>
        <v>5.0073264487080507E-2</v>
      </c>
    </row>
    <row r="53" spans="1:6" x14ac:dyDescent="0.25">
      <c r="A53" s="10" t="s">
        <v>54</v>
      </c>
      <c r="B53" s="10">
        <v>544.1</v>
      </c>
      <c r="C53" s="10">
        <v>155.05000000000001</v>
      </c>
      <c r="D53" s="12">
        <f t="shared" si="3"/>
        <v>-1.9109428519920719E-2</v>
      </c>
      <c r="E53" s="12">
        <f t="shared" si="4"/>
        <v>-1.0340205527541816E-2</v>
      </c>
      <c r="F53" s="12">
        <f t="shared" si="5"/>
        <v>-1.4724817023731268E-2</v>
      </c>
    </row>
    <row r="54" spans="1:6" x14ac:dyDescent="0.25">
      <c r="A54" s="11" t="s">
        <v>55</v>
      </c>
      <c r="B54" s="11">
        <v>502.2</v>
      </c>
      <c r="C54" s="11">
        <v>143.76</v>
      </c>
      <c r="D54" s="13">
        <f t="shared" si="3"/>
        <v>-7.700790295901494E-2</v>
      </c>
      <c r="E54" s="13">
        <f t="shared" si="4"/>
        <v>-7.2815220896485136E-2</v>
      </c>
      <c r="F54" s="13">
        <f t="shared" si="5"/>
        <v>-7.4911561927750031E-2</v>
      </c>
    </row>
    <row r="55" spans="1:6" x14ac:dyDescent="0.25">
      <c r="A55" s="10" t="s">
        <v>56</v>
      </c>
      <c r="B55" s="10">
        <v>504.5</v>
      </c>
      <c r="C55" s="10">
        <v>148.27000000000001</v>
      </c>
      <c r="D55" s="12">
        <f t="shared" si="3"/>
        <v>4.5798486658701941E-3</v>
      </c>
      <c r="E55" s="12">
        <f t="shared" si="4"/>
        <v>3.1371730662214936E-2</v>
      </c>
      <c r="F55" s="12">
        <f t="shared" si="5"/>
        <v>1.7975789664042566E-2</v>
      </c>
    </row>
    <row r="56" spans="1:6" x14ac:dyDescent="0.25">
      <c r="A56" s="11" t="s">
        <v>57</v>
      </c>
      <c r="B56" s="11">
        <v>504.5</v>
      </c>
      <c r="C56" s="11">
        <v>148.27000000000001</v>
      </c>
      <c r="D56" s="13">
        <f t="shared" si="3"/>
        <v>0</v>
      </c>
      <c r="E56" s="13">
        <f t="shared" si="4"/>
        <v>0</v>
      </c>
      <c r="F56" s="13">
        <f t="shared" si="5"/>
        <v>0</v>
      </c>
    </row>
    <row r="57" spans="1:6" x14ac:dyDescent="0.25">
      <c r="D57" s="12">
        <f t="shared" si="3"/>
        <v>-1</v>
      </c>
      <c r="E57" s="12">
        <f t="shared" si="4"/>
        <v>-1</v>
      </c>
      <c r="F57" s="12">
        <f t="shared" si="5"/>
        <v>-1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zoomScaleNormal="100" workbookViewId="0">
      <selection activeCell="G22" sqref="G22"/>
    </sheetView>
  </sheetViews>
  <sheetFormatPr defaultColWidth="8.7109375" defaultRowHeight="15" x14ac:dyDescent="0.25"/>
  <cols>
    <col min="1" max="1" width="38" customWidth="1"/>
    <col min="2" max="4" width="22" customWidth="1"/>
  </cols>
  <sheetData>
    <row r="1" spans="1:6" ht="15" customHeight="1" x14ac:dyDescent="0.25">
      <c r="A1" s="7" t="s">
        <v>64</v>
      </c>
      <c r="B1" s="7"/>
      <c r="C1" s="7"/>
      <c r="D1" s="7"/>
      <c r="E1" s="8"/>
      <c r="F1" s="8"/>
    </row>
    <row r="2" spans="1:6" x14ac:dyDescent="0.25">
      <c r="A2" s="9" t="s">
        <v>65</v>
      </c>
      <c r="B2" s="9" t="s">
        <v>66</v>
      </c>
      <c r="C2" s="9" t="s">
        <v>67</v>
      </c>
      <c r="D2" s="9" t="s">
        <v>68</v>
      </c>
      <c r="E2" s="8"/>
      <c r="F2" s="8"/>
    </row>
    <row r="3" spans="1:6" x14ac:dyDescent="0.25">
      <c r="A3" s="14" t="s">
        <v>69</v>
      </c>
      <c r="B3" s="15">
        <f>AVERAGE('2. Returns'!D5:D57)</f>
        <v>-2.0983938385229831E-2</v>
      </c>
      <c r="C3" s="15">
        <f>AVERAGE('2. Returns'!E5:E57)</f>
        <v>-3.8492356668190235E-3</v>
      </c>
      <c r="D3" s="15">
        <f>AVERAGE('2. Returns'!F5:F57)</f>
        <v>-1.2416587026024427E-2</v>
      </c>
      <c r="E3" s="8"/>
      <c r="F3" s="8"/>
    </row>
    <row r="4" spans="1:6" x14ac:dyDescent="0.25">
      <c r="A4" s="16" t="s">
        <v>70</v>
      </c>
      <c r="B4" s="17">
        <f>STDEV('2. Returns'!D5:D57)</f>
        <v>0.14275378917714118</v>
      </c>
      <c r="C4" s="17">
        <f>STDEV('2. Returns'!E5:E57)</f>
        <v>0.14897550823249842</v>
      </c>
      <c r="D4" s="17">
        <f>STDEV('2. Returns'!F5:F57)</f>
        <v>0.14355251543846062</v>
      </c>
      <c r="E4" s="8"/>
      <c r="F4" s="8"/>
    </row>
    <row r="5" spans="1:6" x14ac:dyDescent="0.25">
      <c r="A5" s="14" t="s">
        <v>71</v>
      </c>
      <c r="B5" s="15">
        <f>VAR('2. Returns'!D5:D57)</f>
        <v>2.0378644324431674E-2</v>
      </c>
      <c r="C5" s="15">
        <f>VAR('2. Returns'!E5:E57)</f>
        <v>2.2193702053131207E-2</v>
      </c>
      <c r="D5" s="15">
        <f>VAR('2. Returns'!F5:F57)</f>
        <v>2.0607324688709478E-2</v>
      </c>
      <c r="E5" s="8"/>
      <c r="F5" s="8"/>
    </row>
    <row r="6" spans="1:6" x14ac:dyDescent="0.25">
      <c r="A6" s="16" t="s">
        <v>72</v>
      </c>
      <c r="B6" s="17">
        <f>MIN('2. Returns'!D5:D57)</f>
        <v>-1</v>
      </c>
      <c r="C6" s="17">
        <f>MIN('2. Returns'!E5:E57)</f>
        <v>-1</v>
      </c>
      <c r="D6" s="17">
        <f>MIN('2. Returns'!F5:F57)</f>
        <v>-1</v>
      </c>
      <c r="E6" s="8"/>
      <c r="F6" s="8"/>
    </row>
    <row r="7" spans="1:6" x14ac:dyDescent="0.25">
      <c r="A7" s="14" t="s">
        <v>73</v>
      </c>
      <c r="B7" s="15">
        <f>MAX('2. Returns'!D5:D57)</f>
        <v>0.10934180629191055</v>
      </c>
      <c r="C7" s="15">
        <f>MAX('2. Returns'!E5:E57)</f>
        <v>0.19846725132337842</v>
      </c>
      <c r="D7" s="15">
        <f>MAX('2. Returns'!F5:F57)</f>
        <v>9.4369675923939619E-2</v>
      </c>
      <c r="E7" s="8"/>
      <c r="F7" s="8"/>
    </row>
    <row r="8" spans="1:6" x14ac:dyDescent="0.25">
      <c r="A8" s="16" t="s">
        <v>74</v>
      </c>
      <c r="B8" s="18">
        <f>(AVERAGE('2. Returns'!D5:D57)-0.00086538)/STDEV('2. Returns'!D5:D57)</f>
        <v>-0.15305596097429902</v>
      </c>
      <c r="C8" s="18">
        <f>(AVERAGE('2. Returns'!E5:E57)-0.00086538)/STDEV('2. Returns'!E5:E57)</f>
        <v>-3.1646917823976578E-2</v>
      </c>
      <c r="D8" s="18">
        <f>(AVERAGE('2. Returns'!F5:F57)-0.00086538)/STDEV('2. Returns'!F5:F57)</f>
        <v>-9.2523401526309446E-2</v>
      </c>
      <c r="E8" s="8"/>
      <c r="F8" s="8"/>
    </row>
    <row r="9" spans="1:6" x14ac:dyDescent="0.25">
      <c r="A9" s="14" t="s">
        <v>75</v>
      </c>
      <c r="B9" s="19">
        <f>CORREL('2. Returns'!D5:D57,'2. Returns'!E5:E57)</f>
        <v>0.93706900169121388</v>
      </c>
      <c r="C9" s="20" t="s">
        <v>76</v>
      </c>
      <c r="D9" s="20" t="s">
        <v>76</v>
      </c>
      <c r="E9" s="8"/>
      <c r="F9" s="8"/>
    </row>
    <row r="10" spans="1:6" x14ac:dyDescent="0.25">
      <c r="A10" s="16" t="s">
        <v>77</v>
      </c>
      <c r="B10" s="18">
        <f>COUNT('2. Returns'!D5:D57)</f>
        <v>53</v>
      </c>
      <c r="C10" s="18">
        <f>COUNT('2. Returns'!E5:E57)</f>
        <v>53</v>
      </c>
      <c r="D10" s="18">
        <f>COUNT('2. Returns'!F5:F57)</f>
        <v>53</v>
      </c>
      <c r="E10" s="8"/>
      <c r="F10" s="8"/>
    </row>
    <row r="11" spans="1:6" x14ac:dyDescent="0.25">
      <c r="A11" s="8"/>
      <c r="B11" s="8"/>
      <c r="C11" s="8"/>
      <c r="D11" s="8"/>
      <c r="E11" s="8"/>
      <c r="F11" s="8"/>
    </row>
    <row r="12" spans="1:6" ht="15" customHeight="1" x14ac:dyDescent="0.25">
      <c r="A12" s="21" t="s">
        <v>78</v>
      </c>
      <c r="B12" s="21"/>
      <c r="C12" s="21"/>
      <c r="D12" s="21"/>
      <c r="E12" s="8"/>
      <c r="F12" s="8"/>
    </row>
    <row r="13" spans="1:6" x14ac:dyDescent="0.25">
      <c r="A13" s="22" t="s">
        <v>79</v>
      </c>
      <c r="B13" s="23" t="s">
        <v>80</v>
      </c>
      <c r="C13" s="23"/>
      <c r="D13" s="23"/>
      <c r="E13" s="8"/>
      <c r="F13" s="8"/>
    </row>
    <row r="14" spans="1:6" x14ac:dyDescent="0.25">
      <c r="A14" s="22" t="s">
        <v>81</v>
      </c>
      <c r="B14" s="23" t="s">
        <v>82</v>
      </c>
      <c r="C14" s="23"/>
      <c r="D14" s="23"/>
      <c r="E14" s="8"/>
      <c r="F14" s="8"/>
    </row>
    <row r="15" spans="1:6" x14ac:dyDescent="0.25">
      <c r="A15" s="22" t="s">
        <v>83</v>
      </c>
      <c r="B15" s="23" t="s">
        <v>84</v>
      </c>
      <c r="C15" s="23"/>
      <c r="D15" s="23"/>
      <c r="E15" s="8"/>
      <c r="F15" s="8"/>
    </row>
    <row r="16" spans="1:6" x14ac:dyDescent="0.25">
      <c r="A16" s="22" t="s">
        <v>85</v>
      </c>
      <c r="B16" s="23" t="s">
        <v>86</v>
      </c>
      <c r="C16" s="23"/>
      <c r="D16" s="23"/>
      <c r="E16" s="8"/>
      <c r="F16" s="8"/>
    </row>
    <row r="17" spans="1:6" x14ac:dyDescent="0.25">
      <c r="A17" s="22" t="s">
        <v>87</v>
      </c>
      <c r="B17" s="23" t="s">
        <v>88</v>
      </c>
      <c r="C17" s="23"/>
      <c r="D17" s="23"/>
      <c r="E17" s="8"/>
      <c r="F17" s="8"/>
    </row>
    <row r="18" spans="1:6" x14ac:dyDescent="0.25">
      <c r="A18" s="8"/>
      <c r="B18" s="8"/>
      <c r="C18" s="8"/>
      <c r="D18" s="8"/>
      <c r="E18" s="8"/>
      <c r="F18" s="8"/>
    </row>
    <row r="19" spans="1:6" x14ac:dyDescent="0.25">
      <c r="A19" s="8"/>
      <c r="B19" s="8"/>
      <c r="C19" s="8"/>
      <c r="D19" s="8"/>
      <c r="E19" s="8"/>
      <c r="F19" s="8"/>
    </row>
  </sheetData>
  <mergeCells count="7">
    <mergeCell ref="B16:D16"/>
    <mergeCell ref="B17:D17"/>
    <mergeCell ref="A1:D1"/>
    <mergeCell ref="A12:D12"/>
    <mergeCell ref="B13:D13"/>
    <mergeCell ref="B14:D14"/>
    <mergeCell ref="B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6"/>
  <sheetViews>
    <sheetView zoomScaleNormal="100" workbookViewId="0">
      <selection activeCell="D1" sqref="D1"/>
    </sheetView>
  </sheetViews>
  <sheetFormatPr defaultColWidth="8.7109375" defaultRowHeight="15" x14ac:dyDescent="0.25"/>
  <cols>
    <col min="1" max="1" width="18" style="8" customWidth="1"/>
    <col min="2" max="3" width="16" style="8" customWidth="1"/>
  </cols>
  <sheetData>
    <row r="1" spans="1:3" ht="31.5" customHeight="1" x14ac:dyDescent="0.25">
      <c r="A1" s="7" t="s">
        <v>89</v>
      </c>
      <c r="B1" s="7"/>
      <c r="C1" s="7"/>
    </row>
    <row r="2" spans="1:3" x14ac:dyDescent="0.25">
      <c r="A2" s="9" t="s">
        <v>1</v>
      </c>
      <c r="B2" s="9" t="s">
        <v>90</v>
      </c>
      <c r="C2" s="9" t="s">
        <v>91</v>
      </c>
    </row>
    <row r="3" spans="1:3" x14ac:dyDescent="0.25">
      <c r="A3" s="10" t="s">
        <v>4</v>
      </c>
      <c r="B3" s="10">
        <v>590.92999999999995</v>
      </c>
      <c r="C3" s="10">
        <v>69.45</v>
      </c>
    </row>
    <row r="4" spans="1:3" x14ac:dyDescent="0.25">
      <c r="A4" s="11" t="s">
        <v>5</v>
      </c>
      <c r="B4" s="11">
        <v>588.39</v>
      </c>
      <c r="C4" s="11">
        <v>72.08</v>
      </c>
    </row>
    <row r="5" spans="1:3" x14ac:dyDescent="0.25">
      <c r="A5" s="10" t="s">
        <v>6</v>
      </c>
      <c r="B5" s="10">
        <v>573.35</v>
      </c>
      <c r="C5" s="10">
        <v>69.25</v>
      </c>
    </row>
    <row r="6" spans="1:3" x14ac:dyDescent="0.25">
      <c r="A6" s="11" t="s">
        <v>7</v>
      </c>
      <c r="B6" s="11">
        <v>517.59</v>
      </c>
      <c r="C6" s="11">
        <v>62.04</v>
      </c>
    </row>
    <row r="7" spans="1:3" x14ac:dyDescent="0.25">
      <c r="A7" s="10" t="s">
        <v>8</v>
      </c>
      <c r="B7" s="10">
        <v>512.12</v>
      </c>
      <c r="C7" s="10">
        <v>62.5</v>
      </c>
    </row>
    <row r="8" spans="1:3" x14ac:dyDescent="0.25">
      <c r="A8" s="11" t="s">
        <v>9</v>
      </c>
      <c r="B8" s="11">
        <v>474.23</v>
      </c>
      <c r="C8" s="11">
        <v>62.73</v>
      </c>
    </row>
    <row r="9" spans="1:3" x14ac:dyDescent="0.25">
      <c r="A9" s="10" t="s">
        <v>10</v>
      </c>
      <c r="B9" s="10">
        <v>487.12</v>
      </c>
      <c r="C9" s="10">
        <v>67.900000000000006</v>
      </c>
    </row>
    <row r="10" spans="1:3" x14ac:dyDescent="0.25">
      <c r="A10" s="11" t="s">
        <v>11</v>
      </c>
      <c r="B10" s="11">
        <v>491.61</v>
      </c>
      <c r="C10" s="11">
        <v>71.72</v>
      </c>
    </row>
    <row r="11" spans="1:3" x14ac:dyDescent="0.25">
      <c r="A11" s="10" t="s">
        <v>12</v>
      </c>
      <c r="B11" s="10">
        <v>491.51</v>
      </c>
      <c r="C11" s="10">
        <v>76.900000000000006</v>
      </c>
    </row>
    <row r="12" spans="1:3" x14ac:dyDescent="0.25">
      <c r="A12" s="11" t="s">
        <v>13</v>
      </c>
      <c r="B12" s="11">
        <v>499.59</v>
      </c>
      <c r="C12" s="11">
        <v>81.64</v>
      </c>
    </row>
    <row r="13" spans="1:3" x14ac:dyDescent="0.25">
      <c r="A13" s="10" t="s">
        <v>14</v>
      </c>
      <c r="B13" s="10">
        <v>474.9</v>
      </c>
      <c r="C13" s="10">
        <v>75.77</v>
      </c>
    </row>
    <row r="14" spans="1:3" x14ac:dyDescent="0.25">
      <c r="A14" s="11" t="s">
        <v>15</v>
      </c>
      <c r="B14" s="11">
        <v>474.16</v>
      </c>
      <c r="C14" s="11">
        <v>77.430000000000007</v>
      </c>
    </row>
    <row r="15" spans="1:3" x14ac:dyDescent="0.25">
      <c r="A15" s="10" t="s">
        <v>16</v>
      </c>
      <c r="B15" s="10">
        <v>467.22</v>
      </c>
      <c r="C15" s="10">
        <v>77.819999999999993</v>
      </c>
    </row>
    <row r="16" spans="1:3" x14ac:dyDescent="0.25">
      <c r="A16" s="11" t="s">
        <v>17</v>
      </c>
      <c r="B16" s="11">
        <v>457.45</v>
      </c>
      <c r="C16" s="11">
        <v>78.13</v>
      </c>
    </row>
    <row r="17" spans="1:3" x14ac:dyDescent="0.25">
      <c r="A17" s="10" t="s">
        <v>18</v>
      </c>
      <c r="B17" s="10">
        <v>446.1</v>
      </c>
      <c r="C17" s="10">
        <v>83.5</v>
      </c>
    </row>
    <row r="18" spans="1:3" x14ac:dyDescent="0.25">
      <c r="A18" s="11" t="s">
        <v>19</v>
      </c>
      <c r="B18" s="11">
        <v>445.46</v>
      </c>
      <c r="C18" s="11">
        <v>86.25</v>
      </c>
    </row>
    <row r="19" spans="1:3" x14ac:dyDescent="0.25">
      <c r="A19" s="10" t="s">
        <v>20</v>
      </c>
      <c r="B19" s="10">
        <v>473.26</v>
      </c>
      <c r="C19" s="10">
        <v>89.31</v>
      </c>
    </row>
    <row r="20" spans="1:3" x14ac:dyDescent="0.25">
      <c r="A20" s="11" t="s">
        <v>21</v>
      </c>
      <c r="B20" s="11">
        <v>483.53</v>
      </c>
      <c r="C20" s="11">
        <v>97.46</v>
      </c>
    </row>
    <row r="21" spans="1:3" x14ac:dyDescent="0.25">
      <c r="A21" s="10" t="s">
        <v>22</v>
      </c>
      <c r="B21" s="10">
        <v>468.7</v>
      </c>
      <c r="C21" s="10">
        <v>102.4</v>
      </c>
    </row>
    <row r="22" spans="1:3" x14ac:dyDescent="0.25">
      <c r="A22" s="11" t="s">
        <v>23</v>
      </c>
      <c r="B22" s="11">
        <v>484.52</v>
      </c>
      <c r="C22" s="11">
        <v>107.27</v>
      </c>
    </row>
    <row r="23" spans="1:3" x14ac:dyDescent="0.25">
      <c r="A23" s="10" t="s">
        <v>24</v>
      </c>
      <c r="B23" s="10">
        <v>457.7</v>
      </c>
      <c r="C23" s="10">
        <v>105.26</v>
      </c>
    </row>
    <row r="24" spans="1:3" x14ac:dyDescent="0.25">
      <c r="A24" s="11" t="s">
        <v>25</v>
      </c>
      <c r="B24" s="11">
        <v>457.4</v>
      </c>
      <c r="C24" s="11">
        <v>108.01</v>
      </c>
    </row>
    <row r="25" spans="1:3" x14ac:dyDescent="0.25">
      <c r="A25" s="10" t="s">
        <v>26</v>
      </c>
      <c r="B25" s="10">
        <v>472.03</v>
      </c>
      <c r="C25" s="10">
        <v>99.74</v>
      </c>
    </row>
    <row r="26" spans="1:3" x14ac:dyDescent="0.25">
      <c r="A26" s="11" t="s">
        <v>27</v>
      </c>
      <c r="B26" s="11">
        <v>490.86</v>
      </c>
      <c r="C26" s="11">
        <v>98.67</v>
      </c>
    </row>
    <row r="27" spans="1:3" x14ac:dyDescent="0.25">
      <c r="A27" s="10" t="s">
        <v>28</v>
      </c>
      <c r="B27" s="10">
        <v>499.79</v>
      </c>
      <c r="C27" s="10">
        <v>100.81</v>
      </c>
    </row>
    <row r="28" spans="1:3" x14ac:dyDescent="0.25">
      <c r="A28" s="11" t="s">
        <v>29</v>
      </c>
      <c r="B28" s="11">
        <v>492</v>
      </c>
      <c r="C28" s="11">
        <v>103.15</v>
      </c>
    </row>
    <row r="29" spans="1:3" x14ac:dyDescent="0.25">
      <c r="A29" s="10" t="s">
        <v>30</v>
      </c>
      <c r="B29" s="10">
        <v>486.45</v>
      </c>
      <c r="C29" s="10">
        <v>105.82</v>
      </c>
    </row>
    <row r="30" spans="1:3" x14ac:dyDescent="0.25">
      <c r="A30" s="11" t="s">
        <v>31</v>
      </c>
      <c r="B30" s="11">
        <v>506.23</v>
      </c>
      <c r="C30" s="11">
        <v>113.49</v>
      </c>
    </row>
    <row r="31" spans="1:3" x14ac:dyDescent="0.25">
      <c r="A31" s="10" t="s">
        <v>32</v>
      </c>
      <c r="B31" s="10">
        <v>511.29</v>
      </c>
      <c r="C31" s="10">
        <v>108.38</v>
      </c>
    </row>
    <row r="32" spans="1:3" x14ac:dyDescent="0.25">
      <c r="A32" s="11" t="s">
        <v>33</v>
      </c>
      <c r="B32" s="11">
        <v>548.37</v>
      </c>
      <c r="C32" s="11">
        <v>114.21</v>
      </c>
    </row>
    <row r="33" spans="1:3" x14ac:dyDescent="0.25">
      <c r="A33" s="10" t="s">
        <v>34</v>
      </c>
      <c r="B33" s="10">
        <v>541.33000000000004</v>
      </c>
      <c r="C33" s="10">
        <v>107.56</v>
      </c>
    </row>
    <row r="34" spans="1:3" x14ac:dyDescent="0.25">
      <c r="A34" s="11" t="s">
        <v>35</v>
      </c>
      <c r="B34" s="11">
        <v>600.52</v>
      </c>
      <c r="C34" s="11">
        <v>116.1</v>
      </c>
    </row>
    <row r="35" spans="1:3" x14ac:dyDescent="0.25">
      <c r="A35" s="10" t="s">
        <v>36</v>
      </c>
      <c r="B35" s="10">
        <v>607.26</v>
      </c>
      <c r="C35" s="10">
        <v>114.01</v>
      </c>
    </row>
    <row r="36" spans="1:3" x14ac:dyDescent="0.25">
      <c r="A36" s="11" t="s">
        <v>37</v>
      </c>
      <c r="B36" s="11">
        <v>606.86</v>
      </c>
      <c r="C36" s="11">
        <v>109.15</v>
      </c>
    </row>
    <row r="37" spans="1:3" x14ac:dyDescent="0.25">
      <c r="A37" s="10" t="s">
        <v>38</v>
      </c>
      <c r="B37" s="10">
        <v>598.04</v>
      </c>
      <c r="C37" s="10">
        <v>103.04</v>
      </c>
    </row>
    <row r="38" spans="1:3" x14ac:dyDescent="0.25">
      <c r="A38" s="11" t="s">
        <v>39</v>
      </c>
      <c r="B38" s="11">
        <v>631.54999999999995</v>
      </c>
      <c r="C38" s="11">
        <v>100.79</v>
      </c>
    </row>
    <row r="39" spans="1:3" x14ac:dyDescent="0.25">
      <c r="A39" s="10" t="s">
        <v>40</v>
      </c>
      <c r="B39" s="10">
        <v>617.66999999999996</v>
      </c>
      <c r="C39" s="10">
        <v>104.59</v>
      </c>
    </row>
    <row r="40" spans="1:3" x14ac:dyDescent="0.25">
      <c r="A40" s="11" t="s">
        <v>41</v>
      </c>
      <c r="B40" s="11">
        <v>630.05999999999995</v>
      </c>
      <c r="C40" s="11">
        <v>108.61</v>
      </c>
    </row>
    <row r="41" spans="1:3" x14ac:dyDescent="0.25">
      <c r="A41" s="10" t="s">
        <v>42</v>
      </c>
      <c r="B41" s="10">
        <v>622.72</v>
      </c>
      <c r="C41" s="10">
        <v>115.59</v>
      </c>
    </row>
    <row r="42" spans="1:3" x14ac:dyDescent="0.25">
      <c r="A42" s="11" t="s">
        <v>43</v>
      </c>
      <c r="B42" s="11">
        <v>624.5</v>
      </c>
      <c r="C42" s="11">
        <v>122.88</v>
      </c>
    </row>
    <row r="43" spans="1:3" x14ac:dyDescent="0.25">
      <c r="A43" s="10" t="s">
        <v>44</v>
      </c>
      <c r="B43" s="10">
        <v>631.70000000000005</v>
      </c>
      <c r="C43" s="10">
        <v>125.08</v>
      </c>
    </row>
    <row r="44" spans="1:3" x14ac:dyDescent="0.25">
      <c r="A44" s="11" t="s">
        <v>45</v>
      </c>
      <c r="B44" s="11">
        <v>632.1</v>
      </c>
      <c r="C44" s="11">
        <v>130.94999999999999</v>
      </c>
    </row>
    <row r="45" spans="1:3" x14ac:dyDescent="0.25">
      <c r="A45" s="10" t="s">
        <v>46</v>
      </c>
      <c r="B45" s="10">
        <v>641.79999999999995</v>
      </c>
      <c r="C45" s="10">
        <v>128.72</v>
      </c>
    </row>
    <row r="46" spans="1:3" x14ac:dyDescent="0.25">
      <c r="A46" s="11" t="s">
        <v>47</v>
      </c>
      <c r="B46" s="11">
        <v>652.1</v>
      </c>
      <c r="C46" s="11">
        <v>133.99</v>
      </c>
    </row>
    <row r="47" spans="1:3" x14ac:dyDescent="0.25">
      <c r="A47" s="10" t="s">
        <v>48</v>
      </c>
      <c r="B47" s="10">
        <v>609.20000000000005</v>
      </c>
      <c r="C47" s="10">
        <v>130.34</v>
      </c>
    </row>
    <row r="48" spans="1:3" x14ac:dyDescent="0.25">
      <c r="A48" s="11" t="s">
        <v>49</v>
      </c>
      <c r="B48" s="11">
        <v>591.4</v>
      </c>
      <c r="C48" s="11">
        <v>129.69</v>
      </c>
    </row>
    <row r="49" spans="1:3" x14ac:dyDescent="0.25">
      <c r="A49" s="10" t="s">
        <v>50</v>
      </c>
      <c r="B49" s="10">
        <v>546.9</v>
      </c>
      <c r="C49" s="10">
        <v>126.57</v>
      </c>
    </row>
    <row r="50" spans="1:3" x14ac:dyDescent="0.25">
      <c r="A50" s="11" t="s">
        <v>51</v>
      </c>
      <c r="B50" s="11">
        <v>536.20000000000005</v>
      </c>
      <c r="C50" s="11">
        <v>151.69</v>
      </c>
    </row>
    <row r="51" spans="1:3" x14ac:dyDescent="0.25">
      <c r="A51" s="10" t="s">
        <v>52</v>
      </c>
      <c r="B51" s="10">
        <v>514.20000000000005</v>
      </c>
      <c r="C51" s="10">
        <v>153.38999999999999</v>
      </c>
    </row>
    <row r="52" spans="1:3" x14ac:dyDescent="0.25">
      <c r="A52" s="11" t="s">
        <v>53</v>
      </c>
      <c r="B52" s="11">
        <v>554.70000000000005</v>
      </c>
      <c r="C52" s="11">
        <v>156.66999999999999</v>
      </c>
    </row>
    <row r="53" spans="1:3" x14ac:dyDescent="0.25">
      <c r="A53" s="10" t="s">
        <v>54</v>
      </c>
      <c r="B53" s="10">
        <v>544.1</v>
      </c>
      <c r="C53" s="10">
        <v>155.05000000000001</v>
      </c>
    </row>
    <row r="54" spans="1:3" x14ac:dyDescent="0.25">
      <c r="A54" s="11" t="s">
        <v>55</v>
      </c>
      <c r="B54" s="11">
        <v>502.2</v>
      </c>
      <c r="C54" s="11">
        <v>143.76</v>
      </c>
    </row>
    <row r="55" spans="1:3" x14ac:dyDescent="0.25">
      <c r="A55" s="10" t="s">
        <v>56</v>
      </c>
      <c r="B55" s="10">
        <v>504.5</v>
      </c>
      <c r="C55" s="10">
        <v>148.27000000000001</v>
      </c>
    </row>
    <row r="56" spans="1:3" x14ac:dyDescent="0.25">
      <c r="A56" s="11" t="s">
        <v>57</v>
      </c>
      <c r="B56" s="11">
        <v>504.5</v>
      </c>
      <c r="C56" s="11">
        <v>148.27000000000001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 Raw Data</vt:lpstr>
      <vt:lpstr>2. Returns</vt:lpstr>
      <vt:lpstr>3. Summary Statistics</vt:lpstr>
      <vt:lpstr>4. Price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Камила Байтенова</cp:lastModifiedBy>
  <cp:revision>1</cp:revision>
  <dcterms:created xsi:type="dcterms:W3CDTF">2026-03-11T08:57:05Z</dcterms:created>
  <dcterms:modified xsi:type="dcterms:W3CDTF">2026-03-11T09:07:52Z</dcterms:modified>
  <dc:language>en-US</dc:language>
</cp:coreProperties>
</file>